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colha de Turnos" sheetId="1" state="visible" r:id="rId1"/>
    <sheet name="Legenda e Instruçõe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b val="1"/>
      <color rgb="001F3864"/>
      <sz val="10"/>
    </font>
    <font>
      <name val="Arial"/>
      <b val="1"/>
      <color rgb="00FFFFFF"/>
      <sz val="10"/>
    </font>
    <font>
      <name val="Arial"/>
      <sz val="10"/>
    </font>
    <font>
      <name val="Arial"/>
      <b val="1"/>
      <sz val="10"/>
    </font>
    <font>
      <name val="Arial"/>
      <i val="1"/>
      <color rgb="00A6A6A6"/>
      <sz val="9"/>
    </font>
    <font>
      <name val="Arial"/>
      <b val="1"/>
      <color rgb="00FFFFFF"/>
      <sz val="14"/>
    </font>
    <font>
      <name val="Arial"/>
      <b val="1"/>
      <color rgb="001F3864"/>
      <sz val="12"/>
    </font>
    <font>
      <name val="Arial"/>
      <color rgb="00000000"/>
      <sz val="11"/>
    </font>
    <font>
      <name val="Arial"/>
      <color rgb="00000000"/>
      <sz val="10"/>
    </font>
  </fonts>
  <fills count="8">
    <fill>
      <patternFill/>
    </fill>
    <fill>
      <patternFill patternType="gray125"/>
    </fill>
    <fill>
      <patternFill patternType="solid">
        <fgColor rgb="001F3864"/>
      </patternFill>
    </fill>
    <fill>
      <patternFill patternType="solid">
        <fgColor rgb="00DCE6F1"/>
      </patternFill>
    </fill>
    <fill>
      <patternFill patternType="solid">
        <fgColor rgb="00FFF2CC"/>
      </patternFill>
    </fill>
    <fill>
      <patternFill patternType="solid">
        <fgColor rgb="00FFFFFF"/>
      </patternFill>
    </fill>
    <fill>
      <patternFill patternType="solid">
        <fgColor rgb="00D9D9D9"/>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3"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5" fillId="4" borderId="1" applyAlignment="1" pivotButton="0" quotePrefix="0" xfId="0">
      <alignment horizontal="center" vertical="center"/>
    </xf>
    <xf numFmtId="0" fontId="4" fillId="4" borderId="1" applyAlignment="1" pivotButton="0" quotePrefix="0" xfId="0">
      <alignment horizontal="center" vertical="center"/>
    </xf>
    <xf numFmtId="0" fontId="6" fillId="6" borderId="1" applyAlignment="1" pivotButton="0" quotePrefix="0" xfId="0">
      <alignment horizontal="center" vertical="center"/>
    </xf>
    <xf numFmtId="0" fontId="4" fillId="7" borderId="1" applyAlignment="1" pivotButton="0" quotePrefix="0" xfId="0">
      <alignment horizontal="center" vertical="center"/>
    </xf>
    <xf numFmtId="0" fontId="5" fillId="7" borderId="1" applyAlignment="1" pivotButton="0" quotePrefix="0" xfId="0">
      <alignment horizontal="center" vertical="center"/>
    </xf>
    <xf numFmtId="0" fontId="2" fillId="0" borderId="0" pivotButton="0" quotePrefix="0" xfId="0"/>
    <xf numFmtId="0" fontId="5" fillId="0" borderId="1" applyAlignment="1" pivotButton="0" quotePrefix="0" xfId="0">
      <alignment horizontal="center" vertical="center"/>
    </xf>
    <xf numFmtId="0" fontId="7" fillId="2"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dxfs count="2">
    <dxf>
      <fill>
        <patternFill patternType="solid">
          <fgColor rgb="00F8CBAD"/>
        </patternFill>
      </fill>
    </dxf>
    <dxf>
      <fill>
        <patternFill patternType="solid">
          <fgColor rgb="00C6E0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9"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4" customWidth="1" min="11" max="11"/>
    <col width="14" customWidth="1" min="12" max="12"/>
  </cols>
  <sheetData>
    <row r="1" ht="28" customHeight="1">
      <c r="A1" s="1" t="inlineStr">
        <is>
          <t>ESCALA DE PLANTÃO POR TURNO — OSID + CICAN (visão única) — 04 a 29/01/2027</t>
        </is>
      </c>
    </row>
    <row r="2" ht="42" customHeight="1">
      <c r="A2" s="2" t="inlineStr">
        <is>
          <t>Data</t>
        </is>
      </c>
      <c r="B2" s="2" t="inlineStr">
        <is>
          <t>Dia</t>
        </is>
      </c>
      <c r="C2" s="2" t="inlineStr">
        <is>
          <t>Turno</t>
        </is>
      </c>
      <c r="D2" s="3" t="inlineStr">
        <is>
          <t>Ana Carolina Pondé</t>
        </is>
      </c>
      <c r="E2" s="3" t="inlineStr">
        <is>
          <t>Éder Gerardo</t>
        </is>
      </c>
      <c r="F2" s="3" t="inlineStr">
        <is>
          <t>Juliana Azevedo</t>
        </is>
      </c>
      <c r="G2" s="4" t="inlineStr">
        <is>
          <t>Juliana Borges</t>
        </is>
      </c>
      <c r="H2" s="3" t="inlineStr">
        <is>
          <t>Laura</t>
        </is>
      </c>
      <c r="I2" s="4" t="inlineStr">
        <is>
          <t>Manoela Carrera</t>
        </is>
      </c>
      <c r="J2" s="4" t="inlineStr">
        <is>
          <t>Tila Fortuna</t>
        </is>
      </c>
      <c r="K2" s="2" t="inlineStr">
        <is>
          <t>Cobertura OSID</t>
        </is>
      </c>
      <c r="L2" s="2" t="inlineStr">
        <is>
          <t>Cobertura CICAN</t>
        </is>
      </c>
    </row>
    <row r="3">
      <c r="A3" s="5" t="inlineStr">
        <is>
          <t>04/01/2027</t>
        </is>
      </c>
      <c r="B3" s="5" t="inlineStr">
        <is>
          <t>Segunda</t>
        </is>
      </c>
      <c r="C3" s="5" t="inlineStr">
        <is>
          <t>Manhã *</t>
        </is>
      </c>
      <c r="D3" s="5" t="n"/>
      <c r="E3" s="5" t="n"/>
      <c r="F3" s="5" t="n"/>
      <c r="G3" s="5" t="n"/>
      <c r="H3" s="5" t="n"/>
      <c r="I3" s="5" t="n"/>
      <c r="J3" s="5" t="n"/>
      <c r="K3" s="6">
        <f>COUNTIF(D3:J3,"OSID")</f>
        <v/>
      </c>
      <c r="L3" s="6">
        <f>COUNTIF(D3:J3,"CICAN")</f>
        <v/>
      </c>
    </row>
    <row r="4">
      <c r="A4" s="7" t="inlineStr">
        <is>
          <t>04/01/2027</t>
        </is>
      </c>
      <c r="B4" s="7" t="inlineStr">
        <is>
          <t>Segunda</t>
        </is>
      </c>
      <c r="C4" s="7" t="inlineStr">
        <is>
          <t>Tarde</t>
        </is>
      </c>
      <c r="D4" s="8" t="n"/>
      <c r="E4" s="8" t="n"/>
      <c r="F4" s="8" t="n"/>
      <c r="G4" s="9" t="inlineStr">
        <is>
          <t>N/A</t>
        </is>
      </c>
      <c r="H4" s="8" t="n"/>
      <c r="I4" s="9" t="inlineStr">
        <is>
          <t>N/A</t>
        </is>
      </c>
      <c r="J4" s="9" t="inlineStr">
        <is>
          <t>N/A</t>
        </is>
      </c>
      <c r="K4" s="7" t="inlineStr">
        <is>
          <t>—</t>
        </is>
      </c>
      <c r="L4" s="7">
        <f>COUNTIF(D4:J4,"CICAN")</f>
        <v/>
      </c>
    </row>
    <row r="5">
      <c r="A5" s="5" t="inlineStr">
        <is>
          <t>05/01/2027</t>
        </is>
      </c>
      <c r="B5" s="5" t="inlineStr">
        <is>
          <t>Terça</t>
        </is>
      </c>
      <c r="C5" s="5" t="inlineStr">
        <is>
          <t>Manhã *</t>
        </is>
      </c>
      <c r="D5" s="5" t="n"/>
      <c r="E5" s="5" t="n"/>
      <c r="F5" s="5" t="n"/>
      <c r="G5" s="5" t="n"/>
      <c r="H5" s="5" t="n"/>
      <c r="I5" s="5" t="n"/>
      <c r="J5" s="5" t="n"/>
      <c r="K5" s="6">
        <f>COUNTIF(D5:J5,"OSID")</f>
        <v/>
      </c>
      <c r="L5" s="6">
        <f>COUNTIF(D5:J5,"CICAN")</f>
        <v/>
      </c>
    </row>
    <row r="6">
      <c r="A6" s="7" t="inlineStr">
        <is>
          <t>05/01/2027</t>
        </is>
      </c>
      <c r="B6" s="7" t="inlineStr">
        <is>
          <t>Terça</t>
        </is>
      </c>
      <c r="C6" s="7" t="inlineStr">
        <is>
          <t>Tarde *</t>
        </is>
      </c>
      <c r="D6" s="8" t="n"/>
      <c r="E6" s="8" t="n"/>
      <c r="F6" s="8" t="n"/>
      <c r="G6" s="8" t="n"/>
      <c r="H6" s="8" t="n"/>
      <c r="I6" s="8" t="n"/>
      <c r="J6" s="8" t="n"/>
      <c r="K6" s="7">
        <f>COUNTIF(D6:J6,"OSID")</f>
        <v/>
      </c>
      <c r="L6" s="7">
        <f>COUNTIF(D6:J6,"CICAN")</f>
        <v/>
      </c>
    </row>
    <row r="7">
      <c r="A7" s="5" t="inlineStr">
        <is>
          <t>06/01/2027</t>
        </is>
      </c>
      <c r="B7" s="5" t="inlineStr">
        <is>
          <t>Quarta</t>
        </is>
      </c>
      <c r="C7" s="5" t="inlineStr">
        <is>
          <t>Manhã *</t>
        </is>
      </c>
      <c r="D7" s="5" t="n"/>
      <c r="E7" s="5" t="n"/>
      <c r="F7" s="5" t="n"/>
      <c r="G7" s="5" t="n"/>
      <c r="H7" s="5" t="n"/>
      <c r="I7" s="5" t="n"/>
      <c r="J7" s="5" t="n"/>
      <c r="K7" s="6">
        <f>COUNTIF(D7:J7,"OSID")</f>
        <v/>
      </c>
      <c r="L7" s="6">
        <f>COUNTIF(D7:J7,"CICAN")</f>
        <v/>
      </c>
    </row>
    <row r="8">
      <c r="A8" s="7" t="inlineStr">
        <is>
          <t>06/01/2027</t>
        </is>
      </c>
      <c r="B8" s="7" t="inlineStr">
        <is>
          <t>Quarta</t>
        </is>
      </c>
      <c r="C8" s="7" t="inlineStr">
        <is>
          <t>Tarde</t>
        </is>
      </c>
      <c r="D8" s="8" t="n"/>
      <c r="E8" s="8" t="n"/>
      <c r="F8" s="8" t="n"/>
      <c r="G8" s="9" t="inlineStr">
        <is>
          <t>N/A</t>
        </is>
      </c>
      <c r="H8" s="8" t="n"/>
      <c r="I8" s="9" t="inlineStr">
        <is>
          <t>N/A</t>
        </is>
      </c>
      <c r="J8" s="9" t="inlineStr">
        <is>
          <t>N/A</t>
        </is>
      </c>
      <c r="K8" s="7" t="inlineStr">
        <is>
          <t>—</t>
        </is>
      </c>
      <c r="L8" s="7">
        <f>COUNTIF(D8:J8,"CICAN")</f>
        <v/>
      </c>
    </row>
    <row r="9">
      <c r="A9" s="5" t="inlineStr">
        <is>
          <t>07/01/2027</t>
        </is>
      </c>
      <c r="B9" s="5" t="inlineStr">
        <is>
          <t>Quinta</t>
        </is>
      </c>
      <c r="C9" s="5" t="inlineStr">
        <is>
          <t>Manhã *</t>
        </is>
      </c>
      <c r="D9" s="5" t="n"/>
      <c r="E9" s="5" t="n"/>
      <c r="F9" s="5" t="n"/>
      <c r="G9" s="5" t="n"/>
      <c r="H9" s="5" t="n"/>
      <c r="I9" s="5" t="n"/>
      <c r="J9" s="5" t="n"/>
      <c r="K9" s="6">
        <f>COUNTIF(D9:J9,"OSID")</f>
        <v/>
      </c>
      <c r="L9" s="6">
        <f>COUNTIF(D9:J9,"CICAN")</f>
        <v/>
      </c>
    </row>
    <row r="10">
      <c r="A10" s="7" t="inlineStr">
        <is>
          <t>07/01/2027</t>
        </is>
      </c>
      <c r="B10" s="7" t="inlineStr">
        <is>
          <t>Quinta</t>
        </is>
      </c>
      <c r="C10" s="7" t="inlineStr">
        <is>
          <t>Tarde</t>
        </is>
      </c>
      <c r="D10" s="8" t="n"/>
      <c r="E10" s="8" t="n"/>
      <c r="F10" s="8" t="n"/>
      <c r="G10" s="9" t="inlineStr">
        <is>
          <t>N/A</t>
        </is>
      </c>
      <c r="H10" s="8" t="n"/>
      <c r="I10" s="9" t="inlineStr">
        <is>
          <t>N/A</t>
        </is>
      </c>
      <c r="J10" s="9" t="inlineStr">
        <is>
          <t>N/A</t>
        </is>
      </c>
      <c r="K10" s="7" t="inlineStr">
        <is>
          <t>—</t>
        </is>
      </c>
      <c r="L10" s="7">
        <f>COUNTIF(D10:J10,"CICAN")</f>
        <v/>
      </c>
    </row>
    <row r="11">
      <c r="A11" s="5" t="inlineStr">
        <is>
          <t>08/01/2027</t>
        </is>
      </c>
      <c r="B11" s="5" t="inlineStr">
        <is>
          <t>Sexta</t>
        </is>
      </c>
      <c r="C11" s="5" t="inlineStr">
        <is>
          <t>Manhã *</t>
        </is>
      </c>
      <c r="D11" s="5" t="n"/>
      <c r="E11" s="5" t="n"/>
      <c r="F11" s="5" t="n"/>
      <c r="G11" s="5" t="n"/>
      <c r="H11" s="5" t="n"/>
      <c r="I11" s="5" t="n"/>
      <c r="J11" s="5" t="n"/>
      <c r="K11" s="6">
        <f>COUNTIF(D11:J11,"OSID")</f>
        <v/>
      </c>
      <c r="L11" s="6">
        <f>COUNTIF(D11:J11,"CICAN")</f>
        <v/>
      </c>
    </row>
    <row r="12">
      <c r="A12" s="7" t="inlineStr">
        <is>
          <t>08/01/2027</t>
        </is>
      </c>
      <c r="B12" s="7" t="inlineStr">
        <is>
          <t>Sexta</t>
        </is>
      </c>
      <c r="C12" s="7" t="inlineStr">
        <is>
          <t>Tarde</t>
        </is>
      </c>
      <c r="D12" s="8" t="n"/>
      <c r="E12" s="8" t="n"/>
      <c r="F12" s="8" t="n"/>
      <c r="G12" s="9" t="inlineStr">
        <is>
          <t>N/A</t>
        </is>
      </c>
      <c r="H12" s="8" t="n"/>
      <c r="I12" s="9" t="inlineStr">
        <is>
          <t>N/A</t>
        </is>
      </c>
      <c r="J12" s="9" t="inlineStr">
        <is>
          <t>N/A</t>
        </is>
      </c>
      <c r="K12" s="7" t="inlineStr">
        <is>
          <t>—</t>
        </is>
      </c>
      <c r="L12" s="7">
        <f>COUNTIF(D12:J12,"CICAN")</f>
        <v/>
      </c>
    </row>
    <row r="13">
      <c r="A13" s="10" t="inlineStr">
        <is>
          <t>11/01/2027</t>
        </is>
      </c>
      <c r="B13" s="10" t="inlineStr">
        <is>
          <t>Segunda</t>
        </is>
      </c>
      <c r="C13" s="10" t="inlineStr">
        <is>
          <t>Manhã *</t>
        </is>
      </c>
      <c r="D13" s="10" t="n"/>
      <c r="E13" s="10" t="n"/>
      <c r="F13" s="10" t="n"/>
      <c r="G13" s="10" t="n"/>
      <c r="H13" s="10" t="n"/>
      <c r="I13" s="10" t="n"/>
      <c r="J13" s="10" t="n"/>
      <c r="K13" s="11">
        <f>COUNTIF(D13:J13,"OSID")</f>
        <v/>
      </c>
      <c r="L13" s="11">
        <f>COUNTIF(D13:J13,"CICAN")</f>
        <v/>
      </c>
    </row>
    <row r="14">
      <c r="A14" s="7" t="inlineStr">
        <is>
          <t>11/01/2027</t>
        </is>
      </c>
      <c r="B14" s="7" t="inlineStr">
        <is>
          <t>Segunda</t>
        </is>
      </c>
      <c r="C14" s="7" t="inlineStr">
        <is>
          <t>Tarde</t>
        </is>
      </c>
      <c r="D14" s="8" t="n"/>
      <c r="E14" s="8" t="n"/>
      <c r="F14" s="8" t="n"/>
      <c r="G14" s="9" t="inlineStr">
        <is>
          <t>N/A</t>
        </is>
      </c>
      <c r="H14" s="8" t="n"/>
      <c r="I14" s="9" t="inlineStr">
        <is>
          <t>N/A</t>
        </is>
      </c>
      <c r="J14" s="9" t="inlineStr">
        <is>
          <t>N/A</t>
        </is>
      </c>
      <c r="K14" s="7" t="inlineStr">
        <is>
          <t>—</t>
        </is>
      </c>
      <c r="L14" s="7">
        <f>COUNTIF(D14:J14,"CICAN")</f>
        <v/>
      </c>
    </row>
    <row r="15">
      <c r="A15" s="10" t="inlineStr">
        <is>
          <t>12/01/2027</t>
        </is>
      </c>
      <c r="B15" s="10" t="inlineStr">
        <is>
          <t>Terça</t>
        </is>
      </c>
      <c r="C15" s="10" t="inlineStr">
        <is>
          <t>Manhã *</t>
        </is>
      </c>
      <c r="D15" s="10" t="n"/>
      <c r="E15" s="10" t="n"/>
      <c r="F15" s="10" t="n"/>
      <c r="G15" s="10" t="n"/>
      <c r="H15" s="10" t="n"/>
      <c r="I15" s="10" t="n"/>
      <c r="J15" s="10" t="n"/>
      <c r="K15" s="11">
        <f>COUNTIF(D15:J15,"OSID")</f>
        <v/>
      </c>
      <c r="L15" s="11">
        <f>COUNTIF(D15:J15,"CICAN")</f>
        <v/>
      </c>
    </row>
    <row r="16">
      <c r="A16" s="7" t="inlineStr">
        <is>
          <t>12/01/2027</t>
        </is>
      </c>
      <c r="B16" s="7" t="inlineStr">
        <is>
          <t>Terça</t>
        </is>
      </c>
      <c r="C16" s="7" t="inlineStr">
        <is>
          <t>Tarde *</t>
        </is>
      </c>
      <c r="D16" s="8" t="n"/>
      <c r="E16" s="8" t="n"/>
      <c r="F16" s="8" t="n"/>
      <c r="G16" s="8" t="n"/>
      <c r="H16" s="8" t="n"/>
      <c r="I16" s="8" t="n"/>
      <c r="J16" s="8" t="n"/>
      <c r="K16" s="7">
        <f>COUNTIF(D16:J16,"OSID")</f>
        <v/>
      </c>
      <c r="L16" s="7">
        <f>COUNTIF(D16:J16,"CICAN")</f>
        <v/>
      </c>
    </row>
    <row r="17">
      <c r="A17" s="10" t="inlineStr">
        <is>
          <t>13/01/2027</t>
        </is>
      </c>
      <c r="B17" s="10" t="inlineStr">
        <is>
          <t>Quarta</t>
        </is>
      </c>
      <c r="C17" s="10" t="inlineStr">
        <is>
          <t>Manhã *</t>
        </is>
      </c>
      <c r="D17" s="10" t="n"/>
      <c r="E17" s="10" t="n"/>
      <c r="F17" s="10" t="n"/>
      <c r="G17" s="10" t="n"/>
      <c r="H17" s="10" t="n"/>
      <c r="I17" s="10" t="n"/>
      <c r="J17" s="10" t="n"/>
      <c r="K17" s="11">
        <f>COUNTIF(D17:J17,"OSID")</f>
        <v/>
      </c>
      <c r="L17" s="11">
        <f>COUNTIF(D17:J17,"CICAN")</f>
        <v/>
      </c>
    </row>
    <row r="18">
      <c r="A18" s="7" t="inlineStr">
        <is>
          <t>13/01/2027</t>
        </is>
      </c>
      <c r="B18" s="7" t="inlineStr">
        <is>
          <t>Quarta</t>
        </is>
      </c>
      <c r="C18" s="7" t="inlineStr">
        <is>
          <t>Tarde</t>
        </is>
      </c>
      <c r="D18" s="8" t="n"/>
      <c r="E18" s="8" t="n"/>
      <c r="F18" s="8" t="n"/>
      <c r="G18" s="9" t="inlineStr">
        <is>
          <t>N/A</t>
        </is>
      </c>
      <c r="H18" s="8" t="n"/>
      <c r="I18" s="9" t="inlineStr">
        <is>
          <t>N/A</t>
        </is>
      </c>
      <c r="J18" s="9" t="inlineStr">
        <is>
          <t>N/A</t>
        </is>
      </c>
      <c r="K18" s="7" t="inlineStr">
        <is>
          <t>—</t>
        </is>
      </c>
      <c r="L18" s="7">
        <f>COUNTIF(D18:J18,"CICAN")</f>
        <v/>
      </c>
    </row>
    <row r="19">
      <c r="A19" s="10" t="inlineStr">
        <is>
          <t>14/01/2027</t>
        </is>
      </c>
      <c r="B19" s="10" t="inlineStr">
        <is>
          <t>Quinta</t>
        </is>
      </c>
      <c r="C19" s="10" t="inlineStr">
        <is>
          <t>Manhã *</t>
        </is>
      </c>
      <c r="D19" s="10" t="n"/>
      <c r="E19" s="10" t="n"/>
      <c r="F19" s="10" t="n"/>
      <c r="G19" s="10" t="n"/>
      <c r="H19" s="10" t="n"/>
      <c r="I19" s="10" t="n"/>
      <c r="J19" s="10" t="n"/>
      <c r="K19" s="11">
        <f>COUNTIF(D19:J19,"OSID")</f>
        <v/>
      </c>
      <c r="L19" s="11">
        <f>COUNTIF(D19:J19,"CICAN")</f>
        <v/>
      </c>
    </row>
    <row r="20">
      <c r="A20" s="7" t="inlineStr">
        <is>
          <t>14/01/2027</t>
        </is>
      </c>
      <c r="B20" s="7" t="inlineStr">
        <is>
          <t>Quinta</t>
        </is>
      </c>
      <c r="C20" s="7" t="inlineStr">
        <is>
          <t>Tarde</t>
        </is>
      </c>
      <c r="D20" s="8" t="n"/>
      <c r="E20" s="8" t="n"/>
      <c r="F20" s="8" t="n"/>
      <c r="G20" s="9" t="inlineStr">
        <is>
          <t>N/A</t>
        </is>
      </c>
      <c r="H20" s="8" t="n"/>
      <c r="I20" s="9" t="inlineStr">
        <is>
          <t>N/A</t>
        </is>
      </c>
      <c r="J20" s="9" t="inlineStr">
        <is>
          <t>N/A</t>
        </is>
      </c>
      <c r="K20" s="7" t="inlineStr">
        <is>
          <t>—</t>
        </is>
      </c>
      <c r="L20" s="7">
        <f>COUNTIF(D20:J20,"CICAN")</f>
        <v/>
      </c>
    </row>
    <row r="21">
      <c r="A21" s="10" t="inlineStr">
        <is>
          <t>15/01/2027</t>
        </is>
      </c>
      <c r="B21" s="10" t="inlineStr">
        <is>
          <t>Sexta</t>
        </is>
      </c>
      <c r="C21" s="10" t="inlineStr">
        <is>
          <t>Manhã *</t>
        </is>
      </c>
      <c r="D21" s="10" t="n"/>
      <c r="E21" s="10" t="n"/>
      <c r="F21" s="10" t="n"/>
      <c r="G21" s="10" t="n"/>
      <c r="H21" s="10" t="n"/>
      <c r="I21" s="10" t="n"/>
      <c r="J21" s="10" t="n"/>
      <c r="K21" s="11">
        <f>COUNTIF(D21:J21,"OSID")</f>
        <v/>
      </c>
      <c r="L21" s="11">
        <f>COUNTIF(D21:J21,"CICAN")</f>
        <v/>
      </c>
    </row>
    <row r="22">
      <c r="A22" s="7" t="inlineStr">
        <is>
          <t>15/01/2027</t>
        </is>
      </c>
      <c r="B22" s="7" t="inlineStr">
        <is>
          <t>Sexta</t>
        </is>
      </c>
      <c r="C22" s="7" t="inlineStr">
        <is>
          <t>Tarde</t>
        </is>
      </c>
      <c r="D22" s="8" t="n"/>
      <c r="E22" s="8" t="n"/>
      <c r="F22" s="8" t="n"/>
      <c r="G22" s="9" t="inlineStr">
        <is>
          <t>N/A</t>
        </is>
      </c>
      <c r="H22" s="8" t="n"/>
      <c r="I22" s="9" t="inlineStr">
        <is>
          <t>N/A</t>
        </is>
      </c>
      <c r="J22" s="9" t="inlineStr">
        <is>
          <t>N/A</t>
        </is>
      </c>
      <c r="K22" s="7" t="inlineStr">
        <is>
          <t>—</t>
        </is>
      </c>
      <c r="L22" s="7">
        <f>COUNTIF(D22:J22,"CICAN")</f>
        <v/>
      </c>
    </row>
    <row r="23">
      <c r="A23" s="5" t="inlineStr">
        <is>
          <t>18/01/2027</t>
        </is>
      </c>
      <c r="B23" s="5" t="inlineStr">
        <is>
          <t>Segunda</t>
        </is>
      </c>
      <c r="C23" s="5" t="inlineStr">
        <is>
          <t>Manhã *</t>
        </is>
      </c>
      <c r="D23" s="5" t="n"/>
      <c r="E23" s="5" t="n"/>
      <c r="F23" s="5" t="n"/>
      <c r="G23" s="5" t="n"/>
      <c r="H23" s="5" t="n"/>
      <c r="I23" s="5" t="n"/>
      <c r="J23" s="5" t="n"/>
      <c r="K23" s="6">
        <f>COUNTIF(D23:J23,"OSID")</f>
        <v/>
      </c>
      <c r="L23" s="6">
        <f>COUNTIF(D23:J23,"CICAN")</f>
        <v/>
      </c>
    </row>
    <row r="24">
      <c r="A24" s="7" t="inlineStr">
        <is>
          <t>18/01/2027</t>
        </is>
      </c>
      <c r="B24" s="7" t="inlineStr">
        <is>
          <t>Segunda</t>
        </is>
      </c>
      <c r="C24" s="7" t="inlineStr">
        <is>
          <t>Tarde</t>
        </is>
      </c>
      <c r="D24" s="8" t="n"/>
      <c r="E24" s="8" t="n"/>
      <c r="F24" s="8" t="n"/>
      <c r="G24" s="9" t="inlineStr">
        <is>
          <t>N/A</t>
        </is>
      </c>
      <c r="H24" s="8" t="n"/>
      <c r="I24" s="9" t="inlineStr">
        <is>
          <t>N/A</t>
        </is>
      </c>
      <c r="J24" s="9" t="inlineStr">
        <is>
          <t>N/A</t>
        </is>
      </c>
      <c r="K24" s="7" t="inlineStr">
        <is>
          <t>—</t>
        </is>
      </c>
      <c r="L24" s="7">
        <f>COUNTIF(D24:J24,"CICAN")</f>
        <v/>
      </c>
    </row>
    <row r="25">
      <c r="A25" s="5" t="inlineStr">
        <is>
          <t>19/01/2027</t>
        </is>
      </c>
      <c r="B25" s="5" t="inlineStr">
        <is>
          <t>Terça</t>
        </is>
      </c>
      <c r="C25" s="5" t="inlineStr">
        <is>
          <t>Manhã *</t>
        </is>
      </c>
      <c r="D25" s="5" t="n"/>
      <c r="E25" s="5" t="n"/>
      <c r="F25" s="5" t="n"/>
      <c r="G25" s="5" t="n"/>
      <c r="H25" s="5" t="n"/>
      <c r="I25" s="5" t="n"/>
      <c r="J25" s="5" t="n"/>
      <c r="K25" s="6">
        <f>COUNTIF(D25:J25,"OSID")</f>
        <v/>
      </c>
      <c r="L25" s="6">
        <f>COUNTIF(D25:J25,"CICAN")</f>
        <v/>
      </c>
    </row>
    <row r="26">
      <c r="A26" s="7" t="inlineStr">
        <is>
          <t>19/01/2027</t>
        </is>
      </c>
      <c r="B26" s="7" t="inlineStr">
        <is>
          <t>Terça</t>
        </is>
      </c>
      <c r="C26" s="7" t="inlineStr">
        <is>
          <t>Tarde *</t>
        </is>
      </c>
      <c r="D26" s="8" t="n"/>
      <c r="E26" s="8" t="n"/>
      <c r="F26" s="8" t="n"/>
      <c r="G26" s="8" t="n"/>
      <c r="H26" s="8" t="n"/>
      <c r="I26" s="8" t="n"/>
      <c r="J26" s="8" t="n"/>
      <c r="K26" s="7">
        <f>COUNTIF(D26:J26,"OSID")</f>
        <v/>
      </c>
      <c r="L26" s="7">
        <f>COUNTIF(D26:J26,"CICAN")</f>
        <v/>
      </c>
    </row>
    <row r="27">
      <c r="A27" s="5" t="inlineStr">
        <is>
          <t>20/01/2027</t>
        </is>
      </c>
      <c r="B27" s="5" t="inlineStr">
        <is>
          <t>Quarta</t>
        </is>
      </c>
      <c r="C27" s="5" t="inlineStr">
        <is>
          <t>Manhã *</t>
        </is>
      </c>
      <c r="D27" s="5" t="n"/>
      <c r="E27" s="5" t="n"/>
      <c r="F27" s="5" t="n"/>
      <c r="G27" s="5" t="n"/>
      <c r="H27" s="5" t="n"/>
      <c r="I27" s="5" t="n"/>
      <c r="J27" s="5" t="n"/>
      <c r="K27" s="6">
        <f>COUNTIF(D27:J27,"OSID")</f>
        <v/>
      </c>
      <c r="L27" s="6">
        <f>COUNTIF(D27:J27,"CICAN")</f>
        <v/>
      </c>
    </row>
    <row r="28">
      <c r="A28" s="7" t="inlineStr">
        <is>
          <t>20/01/2027</t>
        </is>
      </c>
      <c r="B28" s="7" t="inlineStr">
        <is>
          <t>Quarta</t>
        </is>
      </c>
      <c r="C28" s="7" t="inlineStr">
        <is>
          <t>Tarde</t>
        </is>
      </c>
      <c r="D28" s="8" t="n"/>
      <c r="E28" s="8" t="n"/>
      <c r="F28" s="8" t="n"/>
      <c r="G28" s="9" t="inlineStr">
        <is>
          <t>N/A</t>
        </is>
      </c>
      <c r="H28" s="8" t="n"/>
      <c r="I28" s="9" t="inlineStr">
        <is>
          <t>N/A</t>
        </is>
      </c>
      <c r="J28" s="9" t="inlineStr">
        <is>
          <t>N/A</t>
        </is>
      </c>
      <c r="K28" s="7" t="inlineStr">
        <is>
          <t>—</t>
        </is>
      </c>
      <c r="L28" s="7">
        <f>COUNTIF(D28:J28,"CICAN")</f>
        <v/>
      </c>
    </row>
    <row r="29">
      <c r="A29" s="5" t="inlineStr">
        <is>
          <t>21/01/2027</t>
        </is>
      </c>
      <c r="B29" s="5" t="inlineStr">
        <is>
          <t>Quinta</t>
        </is>
      </c>
      <c r="C29" s="5" t="inlineStr">
        <is>
          <t>Manhã *</t>
        </is>
      </c>
      <c r="D29" s="5" t="n"/>
      <c r="E29" s="5" t="n"/>
      <c r="F29" s="5" t="n"/>
      <c r="G29" s="5" t="n"/>
      <c r="H29" s="5" t="n"/>
      <c r="I29" s="5" t="n"/>
      <c r="J29" s="5" t="n"/>
      <c r="K29" s="6">
        <f>COUNTIF(D29:J29,"OSID")</f>
        <v/>
      </c>
      <c r="L29" s="6">
        <f>COUNTIF(D29:J29,"CICAN")</f>
        <v/>
      </c>
    </row>
    <row r="30">
      <c r="A30" s="7" t="inlineStr">
        <is>
          <t>21/01/2027</t>
        </is>
      </c>
      <c r="B30" s="7" t="inlineStr">
        <is>
          <t>Quinta</t>
        </is>
      </c>
      <c r="C30" s="7" t="inlineStr">
        <is>
          <t>Tarde</t>
        </is>
      </c>
      <c r="D30" s="8" t="n"/>
      <c r="E30" s="8" t="n"/>
      <c r="F30" s="8" t="n"/>
      <c r="G30" s="9" t="inlineStr">
        <is>
          <t>N/A</t>
        </is>
      </c>
      <c r="H30" s="8" t="n"/>
      <c r="I30" s="9" t="inlineStr">
        <is>
          <t>N/A</t>
        </is>
      </c>
      <c r="J30" s="9" t="inlineStr">
        <is>
          <t>N/A</t>
        </is>
      </c>
      <c r="K30" s="7" t="inlineStr">
        <is>
          <t>—</t>
        </is>
      </c>
      <c r="L30" s="7">
        <f>COUNTIF(D30:J30,"CICAN")</f>
        <v/>
      </c>
    </row>
    <row r="31">
      <c r="A31" s="5" t="inlineStr">
        <is>
          <t>22/01/2027</t>
        </is>
      </c>
      <c r="B31" s="5" t="inlineStr">
        <is>
          <t>Sexta</t>
        </is>
      </c>
      <c r="C31" s="5" t="inlineStr">
        <is>
          <t>Manhã *</t>
        </is>
      </c>
      <c r="D31" s="5" t="n"/>
      <c r="E31" s="5" t="n"/>
      <c r="F31" s="5" t="n"/>
      <c r="G31" s="5" t="n"/>
      <c r="H31" s="5" t="n"/>
      <c r="I31" s="5" t="n"/>
      <c r="J31" s="5" t="n"/>
      <c r="K31" s="6">
        <f>COUNTIF(D31:J31,"OSID")</f>
        <v/>
      </c>
      <c r="L31" s="6">
        <f>COUNTIF(D31:J31,"CICAN")</f>
        <v/>
      </c>
    </row>
    <row r="32">
      <c r="A32" s="7" t="inlineStr">
        <is>
          <t>22/01/2027</t>
        </is>
      </c>
      <c r="B32" s="7" t="inlineStr">
        <is>
          <t>Sexta</t>
        </is>
      </c>
      <c r="C32" s="7" t="inlineStr">
        <is>
          <t>Tarde</t>
        </is>
      </c>
      <c r="D32" s="8" t="n"/>
      <c r="E32" s="8" t="n"/>
      <c r="F32" s="8" t="n"/>
      <c r="G32" s="9" t="inlineStr">
        <is>
          <t>N/A</t>
        </is>
      </c>
      <c r="H32" s="8" t="n"/>
      <c r="I32" s="9" t="inlineStr">
        <is>
          <t>N/A</t>
        </is>
      </c>
      <c r="J32" s="9" t="inlineStr">
        <is>
          <t>N/A</t>
        </is>
      </c>
      <c r="K32" s="7" t="inlineStr">
        <is>
          <t>—</t>
        </is>
      </c>
      <c r="L32" s="7">
        <f>COUNTIF(D32:J32,"CICAN")</f>
        <v/>
      </c>
    </row>
    <row r="33">
      <c r="A33" s="10" t="inlineStr">
        <is>
          <t>25/01/2027</t>
        </is>
      </c>
      <c r="B33" s="10" t="inlineStr">
        <is>
          <t>Segunda</t>
        </is>
      </c>
      <c r="C33" s="10" t="inlineStr">
        <is>
          <t>Manhã *</t>
        </is>
      </c>
      <c r="D33" s="10" t="n"/>
      <c r="E33" s="10" t="n"/>
      <c r="F33" s="10" t="n"/>
      <c r="G33" s="10" t="n"/>
      <c r="H33" s="10" t="n"/>
      <c r="I33" s="10" t="n"/>
      <c r="J33" s="10" t="n"/>
      <c r="K33" s="11">
        <f>COUNTIF(D33:J33,"OSID")</f>
        <v/>
      </c>
      <c r="L33" s="11">
        <f>COUNTIF(D33:J33,"CICAN")</f>
        <v/>
      </c>
    </row>
    <row r="34">
      <c r="A34" s="7" t="inlineStr">
        <is>
          <t>25/01/2027</t>
        </is>
      </c>
      <c r="B34" s="7" t="inlineStr">
        <is>
          <t>Segunda</t>
        </is>
      </c>
      <c r="C34" s="7" t="inlineStr">
        <is>
          <t>Tarde</t>
        </is>
      </c>
      <c r="D34" s="8" t="n"/>
      <c r="E34" s="8" t="n"/>
      <c r="F34" s="8" t="n"/>
      <c r="G34" s="9" t="inlineStr">
        <is>
          <t>N/A</t>
        </is>
      </c>
      <c r="H34" s="8" t="n"/>
      <c r="I34" s="9" t="inlineStr">
        <is>
          <t>N/A</t>
        </is>
      </c>
      <c r="J34" s="9" t="inlineStr">
        <is>
          <t>N/A</t>
        </is>
      </c>
      <c r="K34" s="7" t="inlineStr">
        <is>
          <t>—</t>
        </is>
      </c>
      <c r="L34" s="7">
        <f>COUNTIF(D34:J34,"CICAN")</f>
        <v/>
      </c>
    </row>
    <row r="35">
      <c r="A35" s="10" t="inlineStr">
        <is>
          <t>26/01/2027</t>
        </is>
      </c>
      <c r="B35" s="10" t="inlineStr">
        <is>
          <t>Terça</t>
        </is>
      </c>
      <c r="C35" s="10" t="inlineStr">
        <is>
          <t>Manhã *</t>
        </is>
      </c>
      <c r="D35" s="10" t="n"/>
      <c r="E35" s="10" t="n"/>
      <c r="F35" s="10" t="n"/>
      <c r="G35" s="10" t="n"/>
      <c r="H35" s="10" t="n"/>
      <c r="I35" s="10" t="n"/>
      <c r="J35" s="10" t="n"/>
      <c r="K35" s="11">
        <f>COUNTIF(D35:J35,"OSID")</f>
        <v/>
      </c>
      <c r="L35" s="11">
        <f>COUNTIF(D35:J35,"CICAN")</f>
        <v/>
      </c>
    </row>
    <row r="36">
      <c r="A36" s="7" t="inlineStr">
        <is>
          <t>26/01/2027</t>
        </is>
      </c>
      <c r="B36" s="7" t="inlineStr">
        <is>
          <t>Terça</t>
        </is>
      </c>
      <c r="C36" s="7" t="inlineStr">
        <is>
          <t>Tarde *</t>
        </is>
      </c>
      <c r="D36" s="8" t="n"/>
      <c r="E36" s="8" t="n"/>
      <c r="F36" s="8" t="n"/>
      <c r="G36" s="8" t="n"/>
      <c r="H36" s="8" t="n"/>
      <c r="I36" s="8" t="n"/>
      <c r="J36" s="8" t="n"/>
      <c r="K36" s="7">
        <f>COUNTIF(D36:J36,"OSID")</f>
        <v/>
      </c>
      <c r="L36" s="7">
        <f>COUNTIF(D36:J36,"CICAN")</f>
        <v/>
      </c>
    </row>
    <row r="37">
      <c r="A37" s="10" t="inlineStr">
        <is>
          <t>27/01/2027</t>
        </is>
      </c>
      <c r="B37" s="10" t="inlineStr">
        <is>
          <t>Quarta</t>
        </is>
      </c>
      <c r="C37" s="10" t="inlineStr">
        <is>
          <t>Manhã *</t>
        </is>
      </c>
      <c r="D37" s="10" t="n"/>
      <c r="E37" s="10" t="n"/>
      <c r="F37" s="10" t="n"/>
      <c r="G37" s="10" t="n"/>
      <c r="H37" s="10" t="n"/>
      <c r="I37" s="10" t="n"/>
      <c r="J37" s="10" t="n"/>
      <c r="K37" s="11">
        <f>COUNTIF(D37:J37,"OSID")</f>
        <v/>
      </c>
      <c r="L37" s="11">
        <f>COUNTIF(D37:J37,"CICAN")</f>
        <v/>
      </c>
    </row>
    <row r="38">
      <c r="A38" s="7" t="inlineStr">
        <is>
          <t>27/01/2027</t>
        </is>
      </c>
      <c r="B38" s="7" t="inlineStr">
        <is>
          <t>Quarta</t>
        </is>
      </c>
      <c r="C38" s="7" t="inlineStr">
        <is>
          <t>Tarde</t>
        </is>
      </c>
      <c r="D38" s="8" t="n"/>
      <c r="E38" s="8" t="n"/>
      <c r="F38" s="8" t="n"/>
      <c r="G38" s="9" t="inlineStr">
        <is>
          <t>N/A</t>
        </is>
      </c>
      <c r="H38" s="8" t="n"/>
      <c r="I38" s="9" t="inlineStr">
        <is>
          <t>N/A</t>
        </is>
      </c>
      <c r="J38" s="9" t="inlineStr">
        <is>
          <t>N/A</t>
        </is>
      </c>
      <c r="K38" s="7" t="inlineStr">
        <is>
          <t>—</t>
        </is>
      </c>
      <c r="L38" s="7">
        <f>COUNTIF(D38:J38,"CICAN")</f>
        <v/>
      </c>
    </row>
    <row r="39">
      <c r="A39" s="10" t="inlineStr">
        <is>
          <t>28/01/2027</t>
        </is>
      </c>
      <c r="B39" s="10" t="inlineStr">
        <is>
          <t>Quinta</t>
        </is>
      </c>
      <c r="C39" s="10" t="inlineStr">
        <is>
          <t>Manhã *</t>
        </is>
      </c>
      <c r="D39" s="10" t="n"/>
      <c r="E39" s="10" t="n"/>
      <c r="F39" s="10" t="n"/>
      <c r="G39" s="10" t="n"/>
      <c r="H39" s="10" t="n"/>
      <c r="I39" s="10" t="n"/>
      <c r="J39" s="10" t="n"/>
      <c r="K39" s="11">
        <f>COUNTIF(D39:J39,"OSID")</f>
        <v/>
      </c>
      <c r="L39" s="11">
        <f>COUNTIF(D39:J39,"CICAN")</f>
        <v/>
      </c>
    </row>
    <row r="40">
      <c r="A40" s="7" t="inlineStr">
        <is>
          <t>28/01/2027</t>
        </is>
      </c>
      <c r="B40" s="7" t="inlineStr">
        <is>
          <t>Quinta</t>
        </is>
      </c>
      <c r="C40" s="7" t="inlineStr">
        <is>
          <t>Tarde</t>
        </is>
      </c>
      <c r="D40" s="8" t="n"/>
      <c r="E40" s="8" t="n"/>
      <c r="F40" s="8" t="n"/>
      <c r="G40" s="9" t="inlineStr">
        <is>
          <t>N/A</t>
        </is>
      </c>
      <c r="H40" s="8" t="n"/>
      <c r="I40" s="9" t="inlineStr">
        <is>
          <t>N/A</t>
        </is>
      </c>
      <c r="J40" s="9" t="inlineStr">
        <is>
          <t>N/A</t>
        </is>
      </c>
      <c r="K40" s="7" t="inlineStr">
        <is>
          <t>—</t>
        </is>
      </c>
      <c r="L40" s="7">
        <f>COUNTIF(D40:J40,"CICAN")</f>
        <v/>
      </c>
    </row>
    <row r="41">
      <c r="A41" s="10" t="inlineStr">
        <is>
          <t>29/01/2027</t>
        </is>
      </c>
      <c r="B41" s="10" t="inlineStr">
        <is>
          <t>Sexta</t>
        </is>
      </c>
      <c r="C41" s="10" t="inlineStr">
        <is>
          <t>Manhã *</t>
        </is>
      </c>
      <c r="D41" s="10" t="n"/>
      <c r="E41" s="10" t="n"/>
      <c r="F41" s="10" t="n"/>
      <c r="G41" s="10" t="n"/>
      <c r="H41" s="10" t="n"/>
      <c r="I41" s="10" t="n"/>
      <c r="J41" s="10" t="n"/>
      <c r="K41" s="11">
        <f>COUNTIF(D41:J41,"OSID")</f>
        <v/>
      </c>
      <c r="L41" s="11">
        <f>COUNTIF(D41:J41,"CICAN")</f>
        <v/>
      </c>
    </row>
    <row r="42">
      <c r="A42" s="7" t="inlineStr">
        <is>
          <t>29/01/2027</t>
        </is>
      </c>
      <c r="B42" s="7" t="inlineStr">
        <is>
          <t>Sexta</t>
        </is>
      </c>
      <c r="C42" s="7" t="inlineStr">
        <is>
          <t>Tarde</t>
        </is>
      </c>
      <c r="D42" s="8" t="n"/>
      <c r="E42" s="8" t="n"/>
      <c r="F42" s="8" t="n"/>
      <c r="G42" s="9" t="inlineStr">
        <is>
          <t>N/A</t>
        </is>
      </c>
      <c r="H42" s="8" t="n"/>
      <c r="I42" s="9" t="inlineStr">
        <is>
          <t>N/A</t>
        </is>
      </c>
      <c r="J42" s="9" t="inlineStr">
        <is>
          <t>N/A</t>
        </is>
      </c>
      <c r="K42" s="7" t="inlineStr">
        <is>
          <t>—</t>
        </is>
      </c>
      <c r="L42" s="7">
        <f>COUNTIF(D42:J42,"CICAN")</f>
        <v/>
      </c>
    </row>
    <row r="44">
      <c r="A44" s="12" t="inlineStr">
        <is>
          <t>TOTAL DE TURNOS EM OSID</t>
        </is>
      </c>
      <c r="D44" s="13">
        <f>COUNTIF(D3:D42,"OSID")</f>
        <v/>
      </c>
      <c r="E44" s="13">
        <f>COUNTIF(E3:E42,"OSID")</f>
        <v/>
      </c>
      <c r="F44" s="13">
        <f>COUNTIF(F3:F42,"OSID")</f>
        <v/>
      </c>
      <c r="G44" s="13">
        <f>COUNTIF(G3:G42,"OSID")</f>
        <v/>
      </c>
      <c r="H44" s="13">
        <f>COUNTIF(H3:H42,"OSID")</f>
        <v/>
      </c>
      <c r="I44" s="13">
        <f>COUNTIF(I3:I42,"OSID")</f>
        <v/>
      </c>
      <c r="J44" s="13">
        <f>COUNTIF(J3:J42,"OSID")</f>
        <v/>
      </c>
    </row>
    <row r="45">
      <c r="A45" s="12" t="inlineStr">
        <is>
          <t>TOTAL DE TURNOS EM CICAN</t>
        </is>
      </c>
      <c r="D45" s="13">
        <f>COUNTIF(D3:D42,"CICAN")</f>
        <v/>
      </c>
      <c r="E45" s="13">
        <f>COUNTIF(E3:E42,"CICAN")</f>
        <v/>
      </c>
      <c r="F45" s="13">
        <f>COUNTIF(F3:F42,"CICAN")</f>
        <v/>
      </c>
      <c r="G45" s="13" t="n">
        <v>0</v>
      </c>
      <c r="H45" s="13">
        <f>COUNTIF(H3:H42,"CICAN")</f>
        <v/>
      </c>
      <c r="I45" s="13" t="n">
        <v>0</v>
      </c>
      <c r="J45" s="13" t="n">
        <v>0</v>
      </c>
    </row>
    <row r="46">
      <c r="A46" s="12" t="inlineStr">
        <is>
          <t>TOTAL DE TURNOS DE DESCANSO</t>
        </is>
      </c>
      <c r="D46" s="13">
        <f>COUNTIF(D3:D42,"FÉRIAS")</f>
        <v/>
      </c>
      <c r="E46" s="13">
        <f>COUNTIF(E3:E42,"FÉRIAS")</f>
        <v/>
      </c>
      <c r="F46" s="13">
        <f>COUNTIF(F3:F42,"FÉRIAS")</f>
        <v/>
      </c>
      <c r="G46" s="13">
        <f>COUNTIF(G3:G42,"FÉRIAS")</f>
        <v/>
      </c>
      <c r="H46" s="13">
        <f>COUNTIF(H3:H42,"FÉRIAS")</f>
        <v/>
      </c>
      <c r="I46" s="13">
        <f>COUNTIF(I3:I42,"FÉRIAS")</f>
        <v/>
      </c>
      <c r="J46" s="13">
        <f>COUNTIF(J3:J42,"FÉRIAS")</f>
        <v/>
      </c>
    </row>
    <row r="47">
      <c r="A47" s="12" t="inlineStr">
        <is>
          <t>SEMANAS DE DESCANSO (meta mínima: 3)</t>
        </is>
      </c>
      <c r="D47" s="13">
        <f>ROUND(D46/10,1)</f>
        <v/>
      </c>
      <c r="E47" s="13">
        <f>ROUND(E46/10,1)</f>
        <v/>
      </c>
      <c r="F47" s="13">
        <f>ROUND(F46/10,1)</f>
        <v/>
      </c>
      <c r="G47" s="13">
        <f>ROUND(G46/6,1)</f>
        <v/>
      </c>
      <c r="H47" s="13">
        <f>ROUND(H46/10,1)</f>
        <v/>
      </c>
      <c r="I47" s="13">
        <f>ROUND(I46/6,1)</f>
        <v/>
      </c>
      <c r="J47" s="13">
        <f>ROUND(J46/6,1)</f>
        <v/>
      </c>
    </row>
  </sheetData>
  <mergeCells count="5">
    <mergeCell ref="A44:C44"/>
    <mergeCell ref="A47:C47"/>
    <mergeCell ref="A45:C45"/>
    <mergeCell ref="A46:C46"/>
    <mergeCell ref="A1:L1"/>
  </mergeCells>
  <conditionalFormatting sqref="K3:K42">
    <cfRule type="cellIs" priority="1" operator="equal" dxfId="0">
      <formula>0</formula>
    </cfRule>
    <cfRule type="cellIs" priority="2" operator="equal" dxfId="1">
      <formula>1</formula>
    </cfRule>
  </conditionalFormatting>
  <conditionalFormatting sqref="L3:L42">
    <cfRule type="cellIs" priority="3" operator="equal" dxfId="0">
      <formula>0</formula>
    </cfRule>
    <cfRule type="cellIs" priority="4" operator="equal" dxfId="1">
      <formula>1</formula>
    </cfRule>
  </conditionalFormatting>
  <conditionalFormatting sqref="D47:J47">
    <cfRule type="cellIs" priority="5" operator="greaterThanOrEqual" dxfId="1">
      <formula>3</formula>
    </cfRule>
    <cfRule type="cellIs" priority="6" operator="lessThan" dxfId="0">
      <formula>3</formula>
    </cfRule>
  </conditionalFormatting>
  <dataValidations count="3">
    <dataValidation sqref="G3 G5 G6 G7 G9 G11 G13 G15 G16 G17 G19 G21 G23 G25 G26 G27 G29 G31 G33 G35 G36 G37 G39 G41 I3 I5 I6 I7 I9 I11 I13 I15 I16 I17 I19 I21 I23 I25 I26 I27 I29 I31 I33 I35 I36 I37 I39 I41 J3 J5 J6 J7 J9 J11 J13 J15 J16 J17 J19 J21 J23 J25 J26 J27 J29 J31 J33 J35 J36 J37 J39 J41" showDropDown="0" showInputMessage="0" showErrorMessage="0" allowBlank="1" type="list">
      <formula1>"OSID,FÉRIAS"</formula1>
    </dataValidation>
    <dataValidation sqref="D3 D5 D6 D7 D9 D11 D13 D15 D16 D17 D19 D21 D23 D25 D26 D27 D29 D31 D33 D35 D36 D37 D39 D41 E3 E5 E6 E7 E9 E11 E13 E15 E16 E17 E19 E21 E23 E25 E26 E27 E29 E31 E33 E35 E36 E37 E39 E41 F3 F5 F6 F7 F9 F11 F13 F15 F16 F17 F19 F21 F23 F25 F26 F27 F29 F31 F33 F35 F36 F37 F39 F41 H3 H5 H6 H7 H9 H11 H13 H15 H16 H17 H19 H21 H23 H25 H26 H27 H29 H31 H33 H35 H36 H37 H39 H41" showDropDown="0" showInputMessage="0" showErrorMessage="0" allowBlank="1" type="list">
      <formula1>"OSID,CICAN,FÉRIAS"</formula1>
    </dataValidation>
    <dataValidation sqref="D4 D8 D10 D12 D14 D18 D20 D22 D24 D28 D30 D32 D34 D38 D40 D42 E4 E8 E10 E12 E14 E18 E20 E22 E24 E28 E30 E32 E34 E38 E40 E42 F4 F8 F10 F12 F14 F18 F20 F22 F24 F28 F30 F32 F34 F38 F40 F42 H4 H8 H10 H12 H14 H18 H20 H22 H24 H28 H30 H32 H34 H38 H40 H42" showDropDown="0" showInputMessage="0" showErrorMessage="0" allowBlank="1" type="list">
      <formula1>"CICAN,FÉRIAS"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98" customWidth="1" min="1" max="1"/>
  </cols>
  <sheetData>
    <row r="1" ht="24" customHeight="1">
      <c r="A1" s="14" t="inlineStr">
        <is>
          <t>ESCALA DE PLANTÃO POR TURNO — OSID + CICAN (visão única)</t>
        </is>
      </c>
    </row>
    <row r="3">
      <c r="A3" s="15" t="inlineStr">
        <is>
          <t>Por que uma planilha só</t>
        </is>
      </c>
    </row>
    <row r="4">
      <c r="A4" s="16" t="inlineStr">
        <is>
          <t>Ana Carolina Pondé, Éder Gerardo, Juliana Azevedo e Laura atuam nos dois serviços — não podem estar de férias em um e trabalhando no outro no mesmo turno. Por isso, em vez de duas planilhas separadas, esta reúne tudo num só lugar: cada turno, cada pessoa escolhe UMA situação (nunca duas).</t>
        </is>
      </c>
    </row>
    <row r="6">
      <c r="A6" s="15" t="inlineStr">
        <is>
          <t>Estrutura de turnos da semana</t>
        </is>
      </c>
    </row>
    <row r="7">
      <c r="A7" s="16" t="inlineStr">
        <is>
          <t>O OSID atende de segunda a sexta de manhã + terça à tarde (6 turnos/semana — marcados com * na coluna Turno). O CICAN atende manhã e tarde todos os dias (10 turnos/semana). A grade cobre todos os 10 turnos/semana possíveis (40 no período de 4 semanas, 04 a 29/01) — o que não é turno de OSID, é turno só de CICAN ou de descanso.</t>
        </is>
      </c>
    </row>
    <row r="9">
      <c r="A9" s="15" t="inlineStr">
        <is>
          <t>Como preencher</t>
        </is>
      </c>
    </row>
    <row r="10">
      <c r="A10" s="16" t="inlineStr">
        <is>
          <t>Cada pessoa preenche sua própria coluna, turno a turno, pela lista (clique na célula e use a setinha):</t>
        </is>
      </c>
    </row>
    <row r="11">
      <c r="A11" s="16" t="inlineStr">
        <is>
          <t>• OSID — está no OSID esse turno (só nos turnos marcados com *)</t>
        </is>
      </c>
    </row>
    <row r="12">
      <c r="A12" s="16" t="inlineStr">
        <is>
          <t>• CICAN — está no CICAN esse turno</t>
        </is>
      </c>
    </row>
    <row r="13">
      <c r="A13" s="16" t="inlineStr">
        <is>
          <t>• FÉRIAS — está de descanso esse turno</t>
        </is>
      </c>
    </row>
    <row r="14">
      <c r="A14" s="16" t="inlineStr">
        <is>
          <t>Ana Carolina Pondé, Éder Gerardo, Juliana Azevedo e Laura (colunas azuis) têm as três opções nos turnos de OSID, e CICAN/FÉRIAS nos demais. Juliana Borges, Manoela Carrera e Tila Fortuna (colunas amarelas) só atuam no OSID — nos turnos que não são de OSID, a célula já vem marcada N/A (não têm o que escolher ali).</t>
        </is>
      </c>
    </row>
    <row r="16">
      <c r="A16" s="15" t="inlineStr">
        <is>
          <t>Regras importantes</t>
        </is>
      </c>
    </row>
    <row r="17">
      <c r="A17" s="16" t="inlineStr">
        <is>
          <t>1. Meta de descanso: pelo menos 3 semanas no período. Para quem só atua no OSID, isso é 18 turnos de FÉRIAS (3 × 6/semana). Para quem atua nos dois serviços, é 30 turnos de FÉRIAS (3 × 10/semana) — a linha "SEMANAS DE DESCANSO" já faz essa conta para cada um e fica verde ao bater a meta.</t>
        </is>
      </c>
    </row>
    <row r="18">
      <c r="A18" s="16" t="inlineStr">
        <is>
          <t>2. Cobertura: as colunas "Cobertura OSID" e "Cobertura CICAN" mostram quantas pessoas estão em cada serviço naquele turno. Ficam vermelhas em 0 (ninguém atendendo) e verdes em 1 (cobertura ideal).</t>
        </is>
      </c>
    </row>
    <row r="19">
      <c r="A19" s="16" t="inlineStr">
        <is>
          <t>3. Ninguém está pré-escalonado — a equipe combina entre si, usando os contadores como guia.</t>
        </is>
      </c>
    </row>
    <row r="21">
      <c r="A21" s="15" t="inlineStr">
        <is>
          <t>Equipe</t>
        </is>
      </c>
    </row>
    <row r="22">
      <c r="A22" s="16" t="inlineStr">
        <is>
          <t>OSID: Ana Carolina Pondé, Éder Gerardo, Juliana Azevedo, Juliana Borges, Laura, Manoela Carrera, Tila Fortuna.</t>
        </is>
      </c>
    </row>
    <row r="23">
      <c r="A23" s="16" t="inlineStr">
        <is>
          <t>CICAN: Ana Carolina Pondé, Éder Gerardo, Juliana Azevedo, Laura. Manoela Carrera coordena o CICAN, mas não entra na escala de assistência de lá. Nestor ainda não entra na escala — ingressará em breve.</t>
        </is>
      </c>
    </row>
    <row r="25">
      <c r="A25" s="15" t="inlineStr">
        <is>
          <t>Nota de elaboração</t>
        </is>
      </c>
    </row>
    <row r="26">
      <c r="A26" s="17" t="inlineStr">
        <is>
          <t>Suposição mantida: CICAN atende manhã e tarde todos os dias úteis (10 turnos/semana). Se a divisão real for diferente, me avise que eu ajusto a planilha toda.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2026-10-27T11:56:33Z</dcterms:created>
  <dcterms:modified xsi:type="dcterms:W3CDTF">2026-10-27T11:56:33Z</dcterms:modified>
</cp:coreProperties>
</file>