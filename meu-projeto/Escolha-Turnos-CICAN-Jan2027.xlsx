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olha de Turnos" sheetId="1" state="visible" r:id="rId1"/>
    <sheet name="Legenda e 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0"/>
    </font>
    <font>
      <name val="Arial"/>
      <b val="1"/>
      <color rgb="00FFFFFF"/>
      <sz val="14"/>
    </font>
    <font>
      <name val="Arial"/>
      <b val="1"/>
      <color rgb="001F3864"/>
      <sz val="12"/>
    </font>
    <font>
      <name val="Arial"/>
      <color rgb="00000000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6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ESCALA DE PLANTÃO POR TURNO — CICAN — 04 a 29/01/2027 (seg a sex, manhã e tarde)</t>
        </is>
      </c>
    </row>
    <row r="2" ht="36" customHeight="1">
      <c r="A2" s="2" t="inlineStr">
        <is>
          <t>Data</t>
        </is>
      </c>
      <c r="B2" s="2" t="inlineStr">
        <is>
          <t>Dia</t>
        </is>
      </c>
      <c r="C2" s="2" t="inlineStr">
        <is>
          <t>Turno</t>
        </is>
      </c>
      <c r="D2" s="2" t="inlineStr">
        <is>
          <t>Ana Carolina Pondé</t>
        </is>
      </c>
      <c r="E2" s="2" t="inlineStr">
        <is>
          <t>Éder Gerardo</t>
        </is>
      </c>
      <c r="F2" s="2" t="inlineStr">
        <is>
          <t>Juliana Azevedo</t>
        </is>
      </c>
      <c r="G2" s="2" t="inlineStr">
        <is>
          <t>Laura</t>
        </is>
      </c>
      <c r="H2" s="2" t="inlineStr">
        <is>
          <t>Cobertura (nº em plantão)</t>
        </is>
      </c>
    </row>
    <row r="3">
      <c r="A3" s="3" t="inlineStr">
        <is>
          <t>04/01/2027</t>
        </is>
      </c>
      <c r="B3" s="3" t="inlineStr">
        <is>
          <t>Segunda</t>
        </is>
      </c>
      <c r="C3" s="3" t="inlineStr">
        <is>
          <t>Manhã</t>
        </is>
      </c>
      <c r="D3" s="3" t="n"/>
      <c r="E3" s="3" t="n"/>
      <c r="F3" s="3" t="n"/>
      <c r="G3" s="3" t="n"/>
      <c r="H3" s="4">
        <f>COUNTIF(D3:G3,"PLANTÃO")</f>
        <v/>
      </c>
    </row>
    <row r="4">
      <c r="A4" s="5" t="inlineStr">
        <is>
          <t>04/01/2027</t>
        </is>
      </c>
      <c r="B4" s="5" t="inlineStr">
        <is>
          <t>Segunda</t>
        </is>
      </c>
      <c r="C4" s="5" t="inlineStr">
        <is>
          <t>Tarde</t>
        </is>
      </c>
      <c r="D4" s="6" t="n"/>
      <c r="E4" s="6" t="n"/>
      <c r="F4" s="6" t="n"/>
      <c r="G4" s="6" t="n"/>
      <c r="H4" s="5">
        <f>COUNTIF(D4:G4,"PLANTÃO")</f>
        <v/>
      </c>
    </row>
    <row r="5">
      <c r="A5" s="3" t="inlineStr">
        <is>
          <t>05/01/2027</t>
        </is>
      </c>
      <c r="B5" s="3" t="inlineStr">
        <is>
          <t>Terça</t>
        </is>
      </c>
      <c r="C5" s="3" t="inlineStr">
        <is>
          <t>Manhã</t>
        </is>
      </c>
      <c r="D5" s="3" t="n"/>
      <c r="E5" s="3" t="n"/>
      <c r="F5" s="3" t="n"/>
      <c r="G5" s="3" t="n"/>
      <c r="H5" s="4">
        <f>COUNTIF(D5:G5,"PLANTÃO")</f>
        <v/>
      </c>
    </row>
    <row r="6">
      <c r="A6" s="5" t="inlineStr">
        <is>
          <t>05/01/2027</t>
        </is>
      </c>
      <c r="B6" s="5" t="inlineStr">
        <is>
          <t>Terça</t>
        </is>
      </c>
      <c r="C6" s="5" t="inlineStr">
        <is>
          <t>Tarde</t>
        </is>
      </c>
      <c r="D6" s="6" t="n"/>
      <c r="E6" s="6" t="n"/>
      <c r="F6" s="6" t="n"/>
      <c r="G6" s="6" t="n"/>
      <c r="H6" s="5">
        <f>COUNTIF(D6:G6,"PLANTÃO")</f>
        <v/>
      </c>
    </row>
    <row r="7">
      <c r="A7" s="3" t="inlineStr">
        <is>
          <t>06/01/2027</t>
        </is>
      </c>
      <c r="B7" s="3" t="inlineStr">
        <is>
          <t>Quarta</t>
        </is>
      </c>
      <c r="C7" s="3" t="inlineStr">
        <is>
          <t>Manhã</t>
        </is>
      </c>
      <c r="D7" s="3" t="n"/>
      <c r="E7" s="3" t="n"/>
      <c r="F7" s="3" t="n"/>
      <c r="G7" s="3" t="n"/>
      <c r="H7" s="4">
        <f>COUNTIF(D7:G7,"PLANTÃO")</f>
        <v/>
      </c>
    </row>
    <row r="8">
      <c r="A8" s="5" t="inlineStr">
        <is>
          <t>06/01/2027</t>
        </is>
      </c>
      <c r="B8" s="5" t="inlineStr">
        <is>
          <t>Quarta</t>
        </is>
      </c>
      <c r="C8" s="5" t="inlineStr">
        <is>
          <t>Tarde</t>
        </is>
      </c>
      <c r="D8" s="6" t="n"/>
      <c r="E8" s="6" t="n"/>
      <c r="F8" s="6" t="n"/>
      <c r="G8" s="6" t="n"/>
      <c r="H8" s="5">
        <f>COUNTIF(D8:G8,"PLANTÃO")</f>
        <v/>
      </c>
    </row>
    <row r="9">
      <c r="A9" s="3" t="inlineStr">
        <is>
          <t>07/01/2027</t>
        </is>
      </c>
      <c r="B9" s="3" t="inlineStr">
        <is>
          <t>Quinta</t>
        </is>
      </c>
      <c r="C9" s="3" t="inlineStr">
        <is>
          <t>Manhã</t>
        </is>
      </c>
      <c r="D9" s="3" t="n"/>
      <c r="E9" s="3" t="n"/>
      <c r="F9" s="3" t="n"/>
      <c r="G9" s="3" t="n"/>
      <c r="H9" s="4">
        <f>COUNTIF(D9:G9,"PLANTÃO")</f>
        <v/>
      </c>
    </row>
    <row r="10">
      <c r="A10" s="5" t="inlineStr">
        <is>
          <t>07/01/2027</t>
        </is>
      </c>
      <c r="B10" s="5" t="inlineStr">
        <is>
          <t>Quinta</t>
        </is>
      </c>
      <c r="C10" s="5" t="inlineStr">
        <is>
          <t>Tarde</t>
        </is>
      </c>
      <c r="D10" s="6" t="n"/>
      <c r="E10" s="6" t="n"/>
      <c r="F10" s="6" t="n"/>
      <c r="G10" s="6" t="n"/>
      <c r="H10" s="5">
        <f>COUNTIF(D10:G10,"PLANTÃO")</f>
        <v/>
      </c>
    </row>
    <row r="11">
      <c r="A11" s="3" t="inlineStr">
        <is>
          <t>08/01/2027</t>
        </is>
      </c>
      <c r="B11" s="3" t="inlineStr">
        <is>
          <t>Sexta</t>
        </is>
      </c>
      <c r="C11" s="3" t="inlineStr">
        <is>
          <t>Manhã</t>
        </is>
      </c>
      <c r="D11" s="3" t="n"/>
      <c r="E11" s="3" t="n"/>
      <c r="F11" s="3" t="n"/>
      <c r="G11" s="3" t="n"/>
      <c r="H11" s="4">
        <f>COUNTIF(D11:G11,"PLANTÃO")</f>
        <v/>
      </c>
    </row>
    <row r="12">
      <c r="A12" s="5" t="inlineStr">
        <is>
          <t>08/01/2027</t>
        </is>
      </c>
      <c r="B12" s="5" t="inlineStr">
        <is>
          <t>Sexta</t>
        </is>
      </c>
      <c r="C12" s="5" t="inlineStr">
        <is>
          <t>Tarde</t>
        </is>
      </c>
      <c r="D12" s="6" t="n"/>
      <c r="E12" s="6" t="n"/>
      <c r="F12" s="6" t="n"/>
      <c r="G12" s="6" t="n"/>
      <c r="H12" s="5">
        <f>COUNTIF(D12:G12,"PLANTÃO")</f>
        <v/>
      </c>
    </row>
    <row r="13">
      <c r="A13" s="7" t="inlineStr">
        <is>
          <t>11/01/2027</t>
        </is>
      </c>
      <c r="B13" s="7" t="inlineStr">
        <is>
          <t>Segunda</t>
        </is>
      </c>
      <c r="C13" s="7" t="inlineStr">
        <is>
          <t>Manhã</t>
        </is>
      </c>
      <c r="D13" s="7" t="n"/>
      <c r="E13" s="7" t="n"/>
      <c r="F13" s="7" t="n"/>
      <c r="G13" s="7" t="n"/>
      <c r="H13" s="8">
        <f>COUNTIF(D13:G13,"PLANTÃO")</f>
        <v/>
      </c>
    </row>
    <row r="14">
      <c r="A14" s="5" t="inlineStr">
        <is>
          <t>11/01/2027</t>
        </is>
      </c>
      <c r="B14" s="5" t="inlineStr">
        <is>
          <t>Segunda</t>
        </is>
      </c>
      <c r="C14" s="5" t="inlineStr">
        <is>
          <t>Tarde</t>
        </is>
      </c>
      <c r="D14" s="6" t="n"/>
      <c r="E14" s="6" t="n"/>
      <c r="F14" s="6" t="n"/>
      <c r="G14" s="6" t="n"/>
      <c r="H14" s="5">
        <f>COUNTIF(D14:G14,"PLANTÃO")</f>
        <v/>
      </c>
    </row>
    <row r="15">
      <c r="A15" s="7" t="inlineStr">
        <is>
          <t>12/01/2027</t>
        </is>
      </c>
      <c r="B15" s="7" t="inlineStr">
        <is>
          <t>Terça</t>
        </is>
      </c>
      <c r="C15" s="7" t="inlineStr">
        <is>
          <t>Manhã</t>
        </is>
      </c>
      <c r="D15" s="7" t="n"/>
      <c r="E15" s="7" t="n"/>
      <c r="F15" s="7" t="n"/>
      <c r="G15" s="7" t="n"/>
      <c r="H15" s="8">
        <f>COUNTIF(D15:G15,"PLANTÃO")</f>
        <v/>
      </c>
    </row>
    <row r="16">
      <c r="A16" s="5" t="inlineStr">
        <is>
          <t>12/01/2027</t>
        </is>
      </c>
      <c r="B16" s="5" t="inlineStr">
        <is>
          <t>Terça</t>
        </is>
      </c>
      <c r="C16" s="5" t="inlineStr">
        <is>
          <t>Tarde</t>
        </is>
      </c>
      <c r="D16" s="6" t="n"/>
      <c r="E16" s="6" t="n"/>
      <c r="F16" s="6" t="n"/>
      <c r="G16" s="6" t="n"/>
      <c r="H16" s="5">
        <f>COUNTIF(D16:G16,"PLANTÃO")</f>
        <v/>
      </c>
    </row>
    <row r="17">
      <c r="A17" s="7" t="inlineStr">
        <is>
          <t>13/01/2027</t>
        </is>
      </c>
      <c r="B17" s="7" t="inlineStr">
        <is>
          <t>Quarta</t>
        </is>
      </c>
      <c r="C17" s="7" t="inlineStr">
        <is>
          <t>Manhã</t>
        </is>
      </c>
      <c r="D17" s="7" t="n"/>
      <c r="E17" s="7" t="n"/>
      <c r="F17" s="7" t="n"/>
      <c r="G17" s="7" t="n"/>
      <c r="H17" s="8">
        <f>COUNTIF(D17:G17,"PLANTÃO")</f>
        <v/>
      </c>
    </row>
    <row r="18">
      <c r="A18" s="5" t="inlineStr">
        <is>
          <t>13/01/2027</t>
        </is>
      </c>
      <c r="B18" s="5" t="inlineStr">
        <is>
          <t>Quarta</t>
        </is>
      </c>
      <c r="C18" s="5" t="inlineStr">
        <is>
          <t>Tarde</t>
        </is>
      </c>
      <c r="D18" s="6" t="n"/>
      <c r="E18" s="6" t="n"/>
      <c r="F18" s="6" t="n"/>
      <c r="G18" s="6" t="n"/>
      <c r="H18" s="5">
        <f>COUNTIF(D18:G18,"PLANTÃO")</f>
        <v/>
      </c>
    </row>
    <row r="19">
      <c r="A19" s="7" t="inlineStr">
        <is>
          <t>14/01/2027</t>
        </is>
      </c>
      <c r="B19" s="7" t="inlineStr">
        <is>
          <t>Quinta</t>
        </is>
      </c>
      <c r="C19" s="7" t="inlineStr">
        <is>
          <t>Manhã</t>
        </is>
      </c>
      <c r="D19" s="7" t="n"/>
      <c r="E19" s="7" t="n"/>
      <c r="F19" s="7" t="n"/>
      <c r="G19" s="7" t="n"/>
      <c r="H19" s="8">
        <f>COUNTIF(D19:G19,"PLANTÃO")</f>
        <v/>
      </c>
    </row>
    <row r="20">
      <c r="A20" s="5" t="inlineStr">
        <is>
          <t>14/01/2027</t>
        </is>
      </c>
      <c r="B20" s="5" t="inlineStr">
        <is>
          <t>Quinta</t>
        </is>
      </c>
      <c r="C20" s="5" t="inlineStr">
        <is>
          <t>Tarde</t>
        </is>
      </c>
      <c r="D20" s="6" t="n"/>
      <c r="E20" s="6" t="n"/>
      <c r="F20" s="6" t="n"/>
      <c r="G20" s="6" t="n"/>
      <c r="H20" s="5">
        <f>COUNTIF(D20:G20,"PLANTÃO")</f>
        <v/>
      </c>
    </row>
    <row r="21">
      <c r="A21" s="7" t="inlineStr">
        <is>
          <t>15/01/2027</t>
        </is>
      </c>
      <c r="B21" s="7" t="inlineStr">
        <is>
          <t>Sexta</t>
        </is>
      </c>
      <c r="C21" s="7" t="inlineStr">
        <is>
          <t>Manhã</t>
        </is>
      </c>
      <c r="D21" s="7" t="n"/>
      <c r="E21" s="7" t="n"/>
      <c r="F21" s="7" t="n"/>
      <c r="G21" s="7" t="n"/>
      <c r="H21" s="8">
        <f>COUNTIF(D21:G21,"PLANTÃO")</f>
        <v/>
      </c>
    </row>
    <row r="22">
      <c r="A22" s="5" t="inlineStr">
        <is>
          <t>15/01/2027</t>
        </is>
      </c>
      <c r="B22" s="5" t="inlineStr">
        <is>
          <t>Sexta</t>
        </is>
      </c>
      <c r="C22" s="5" t="inlineStr">
        <is>
          <t>Tarde</t>
        </is>
      </c>
      <c r="D22" s="6" t="n"/>
      <c r="E22" s="6" t="n"/>
      <c r="F22" s="6" t="n"/>
      <c r="G22" s="6" t="n"/>
      <c r="H22" s="5">
        <f>COUNTIF(D22:G22,"PLANTÃO")</f>
        <v/>
      </c>
    </row>
    <row r="23">
      <c r="A23" s="3" t="inlineStr">
        <is>
          <t>18/01/2027</t>
        </is>
      </c>
      <c r="B23" s="3" t="inlineStr">
        <is>
          <t>Segunda</t>
        </is>
      </c>
      <c r="C23" s="3" t="inlineStr">
        <is>
          <t>Manhã</t>
        </is>
      </c>
      <c r="D23" s="3" t="n"/>
      <c r="E23" s="3" t="n"/>
      <c r="F23" s="3" t="n"/>
      <c r="G23" s="3" t="n"/>
      <c r="H23" s="4">
        <f>COUNTIF(D23:G23,"PLANTÃO")</f>
        <v/>
      </c>
    </row>
    <row r="24">
      <c r="A24" s="5" t="inlineStr">
        <is>
          <t>18/01/2027</t>
        </is>
      </c>
      <c r="B24" s="5" t="inlineStr">
        <is>
          <t>Segunda</t>
        </is>
      </c>
      <c r="C24" s="5" t="inlineStr">
        <is>
          <t>Tarde</t>
        </is>
      </c>
      <c r="D24" s="6" t="n"/>
      <c r="E24" s="6" t="n"/>
      <c r="F24" s="6" t="n"/>
      <c r="G24" s="6" t="n"/>
      <c r="H24" s="5">
        <f>COUNTIF(D24:G24,"PLANTÃO")</f>
        <v/>
      </c>
    </row>
    <row r="25">
      <c r="A25" s="3" t="inlineStr">
        <is>
          <t>19/01/2027</t>
        </is>
      </c>
      <c r="B25" s="3" t="inlineStr">
        <is>
          <t>Terça</t>
        </is>
      </c>
      <c r="C25" s="3" t="inlineStr">
        <is>
          <t>Manhã</t>
        </is>
      </c>
      <c r="D25" s="3" t="n"/>
      <c r="E25" s="3" t="n"/>
      <c r="F25" s="3" t="n"/>
      <c r="G25" s="3" t="n"/>
      <c r="H25" s="4">
        <f>COUNTIF(D25:G25,"PLANTÃO")</f>
        <v/>
      </c>
    </row>
    <row r="26">
      <c r="A26" s="5" t="inlineStr">
        <is>
          <t>19/01/2027</t>
        </is>
      </c>
      <c r="B26" s="5" t="inlineStr">
        <is>
          <t>Terça</t>
        </is>
      </c>
      <c r="C26" s="5" t="inlineStr">
        <is>
          <t>Tarde</t>
        </is>
      </c>
      <c r="D26" s="6" t="n"/>
      <c r="E26" s="6" t="n"/>
      <c r="F26" s="6" t="n"/>
      <c r="G26" s="6" t="n"/>
      <c r="H26" s="5">
        <f>COUNTIF(D26:G26,"PLANTÃO")</f>
        <v/>
      </c>
    </row>
    <row r="27">
      <c r="A27" s="3" t="inlineStr">
        <is>
          <t>20/01/2027</t>
        </is>
      </c>
      <c r="B27" s="3" t="inlineStr">
        <is>
          <t>Quarta</t>
        </is>
      </c>
      <c r="C27" s="3" t="inlineStr">
        <is>
          <t>Manhã</t>
        </is>
      </c>
      <c r="D27" s="3" t="n"/>
      <c r="E27" s="3" t="n"/>
      <c r="F27" s="3" t="n"/>
      <c r="G27" s="3" t="n"/>
      <c r="H27" s="4">
        <f>COUNTIF(D27:G27,"PLANTÃO")</f>
        <v/>
      </c>
    </row>
    <row r="28">
      <c r="A28" s="5" t="inlineStr">
        <is>
          <t>20/01/2027</t>
        </is>
      </c>
      <c r="B28" s="5" t="inlineStr">
        <is>
          <t>Quarta</t>
        </is>
      </c>
      <c r="C28" s="5" t="inlineStr">
        <is>
          <t>Tarde</t>
        </is>
      </c>
      <c r="D28" s="6" t="n"/>
      <c r="E28" s="6" t="n"/>
      <c r="F28" s="6" t="n"/>
      <c r="G28" s="6" t="n"/>
      <c r="H28" s="5">
        <f>COUNTIF(D28:G28,"PLANTÃO")</f>
        <v/>
      </c>
    </row>
    <row r="29">
      <c r="A29" s="3" t="inlineStr">
        <is>
          <t>21/01/2027</t>
        </is>
      </c>
      <c r="B29" s="3" t="inlineStr">
        <is>
          <t>Quinta</t>
        </is>
      </c>
      <c r="C29" s="3" t="inlineStr">
        <is>
          <t>Manhã</t>
        </is>
      </c>
      <c r="D29" s="3" t="n"/>
      <c r="E29" s="3" t="n"/>
      <c r="F29" s="3" t="n"/>
      <c r="G29" s="3" t="n"/>
      <c r="H29" s="4">
        <f>COUNTIF(D29:G29,"PLANTÃO")</f>
        <v/>
      </c>
    </row>
    <row r="30">
      <c r="A30" s="5" t="inlineStr">
        <is>
          <t>21/01/2027</t>
        </is>
      </c>
      <c r="B30" s="5" t="inlineStr">
        <is>
          <t>Quinta</t>
        </is>
      </c>
      <c r="C30" s="5" t="inlineStr">
        <is>
          <t>Tarde</t>
        </is>
      </c>
      <c r="D30" s="6" t="n"/>
      <c r="E30" s="6" t="n"/>
      <c r="F30" s="6" t="n"/>
      <c r="G30" s="6" t="n"/>
      <c r="H30" s="5">
        <f>COUNTIF(D30:G30,"PLANTÃO")</f>
        <v/>
      </c>
    </row>
    <row r="31">
      <c r="A31" s="3" t="inlineStr">
        <is>
          <t>22/01/2027</t>
        </is>
      </c>
      <c r="B31" s="3" t="inlineStr">
        <is>
          <t>Sexta</t>
        </is>
      </c>
      <c r="C31" s="3" t="inlineStr">
        <is>
          <t>Manhã</t>
        </is>
      </c>
      <c r="D31" s="3" t="n"/>
      <c r="E31" s="3" t="n"/>
      <c r="F31" s="3" t="n"/>
      <c r="G31" s="3" t="n"/>
      <c r="H31" s="4">
        <f>COUNTIF(D31:G31,"PLANTÃO")</f>
        <v/>
      </c>
    </row>
    <row r="32">
      <c r="A32" s="5" t="inlineStr">
        <is>
          <t>22/01/2027</t>
        </is>
      </c>
      <c r="B32" s="5" t="inlineStr">
        <is>
          <t>Sexta</t>
        </is>
      </c>
      <c r="C32" s="5" t="inlineStr">
        <is>
          <t>Tarde</t>
        </is>
      </c>
      <c r="D32" s="6" t="n"/>
      <c r="E32" s="6" t="n"/>
      <c r="F32" s="6" t="n"/>
      <c r="G32" s="6" t="n"/>
      <c r="H32" s="5">
        <f>COUNTIF(D32:G32,"PLANTÃO")</f>
        <v/>
      </c>
    </row>
    <row r="33">
      <c r="A33" s="7" t="inlineStr">
        <is>
          <t>25/01/2027</t>
        </is>
      </c>
      <c r="B33" s="7" t="inlineStr">
        <is>
          <t>Segunda</t>
        </is>
      </c>
      <c r="C33" s="7" t="inlineStr">
        <is>
          <t>Manhã</t>
        </is>
      </c>
      <c r="D33" s="7" t="n"/>
      <c r="E33" s="7" t="n"/>
      <c r="F33" s="7" t="n"/>
      <c r="G33" s="7" t="n"/>
      <c r="H33" s="8">
        <f>COUNTIF(D33:G33,"PLANTÃO")</f>
        <v/>
      </c>
    </row>
    <row r="34">
      <c r="A34" s="5" t="inlineStr">
        <is>
          <t>25/01/2027</t>
        </is>
      </c>
      <c r="B34" s="5" t="inlineStr">
        <is>
          <t>Segunda</t>
        </is>
      </c>
      <c r="C34" s="5" t="inlineStr">
        <is>
          <t>Tarde</t>
        </is>
      </c>
      <c r="D34" s="6" t="n"/>
      <c r="E34" s="6" t="n"/>
      <c r="F34" s="6" t="n"/>
      <c r="G34" s="6" t="n"/>
      <c r="H34" s="5">
        <f>COUNTIF(D34:G34,"PLANTÃO")</f>
        <v/>
      </c>
    </row>
    <row r="35">
      <c r="A35" s="7" t="inlineStr">
        <is>
          <t>26/01/2027</t>
        </is>
      </c>
      <c r="B35" s="7" t="inlineStr">
        <is>
          <t>Terça</t>
        </is>
      </c>
      <c r="C35" s="7" t="inlineStr">
        <is>
          <t>Manhã</t>
        </is>
      </c>
      <c r="D35" s="7" t="n"/>
      <c r="E35" s="7" t="n"/>
      <c r="F35" s="7" t="n"/>
      <c r="G35" s="7" t="n"/>
      <c r="H35" s="8">
        <f>COUNTIF(D35:G35,"PLANTÃO")</f>
        <v/>
      </c>
    </row>
    <row r="36">
      <c r="A36" s="5" t="inlineStr">
        <is>
          <t>26/01/2027</t>
        </is>
      </c>
      <c r="B36" s="5" t="inlineStr">
        <is>
          <t>Terça</t>
        </is>
      </c>
      <c r="C36" s="5" t="inlineStr">
        <is>
          <t>Tarde</t>
        </is>
      </c>
      <c r="D36" s="6" t="n"/>
      <c r="E36" s="6" t="n"/>
      <c r="F36" s="6" t="n"/>
      <c r="G36" s="6" t="n"/>
      <c r="H36" s="5">
        <f>COUNTIF(D36:G36,"PLANTÃO")</f>
        <v/>
      </c>
    </row>
    <row r="37">
      <c r="A37" s="7" t="inlineStr">
        <is>
          <t>27/01/2027</t>
        </is>
      </c>
      <c r="B37" s="7" t="inlineStr">
        <is>
          <t>Quarta</t>
        </is>
      </c>
      <c r="C37" s="7" t="inlineStr">
        <is>
          <t>Manhã</t>
        </is>
      </c>
      <c r="D37" s="7" t="n"/>
      <c r="E37" s="7" t="n"/>
      <c r="F37" s="7" t="n"/>
      <c r="G37" s="7" t="n"/>
      <c r="H37" s="8">
        <f>COUNTIF(D37:G37,"PLANTÃO")</f>
        <v/>
      </c>
    </row>
    <row r="38">
      <c r="A38" s="5" t="inlineStr">
        <is>
          <t>27/01/2027</t>
        </is>
      </c>
      <c r="B38" s="5" t="inlineStr">
        <is>
          <t>Quarta</t>
        </is>
      </c>
      <c r="C38" s="5" t="inlineStr">
        <is>
          <t>Tarde</t>
        </is>
      </c>
      <c r="D38" s="6" t="n"/>
      <c r="E38" s="6" t="n"/>
      <c r="F38" s="6" t="n"/>
      <c r="G38" s="6" t="n"/>
      <c r="H38" s="5">
        <f>COUNTIF(D38:G38,"PLANTÃO")</f>
        <v/>
      </c>
    </row>
    <row r="39">
      <c r="A39" s="7" t="inlineStr">
        <is>
          <t>28/01/2027</t>
        </is>
      </c>
      <c r="B39" s="7" t="inlineStr">
        <is>
          <t>Quinta</t>
        </is>
      </c>
      <c r="C39" s="7" t="inlineStr">
        <is>
          <t>Manhã</t>
        </is>
      </c>
      <c r="D39" s="7" t="n"/>
      <c r="E39" s="7" t="n"/>
      <c r="F39" s="7" t="n"/>
      <c r="G39" s="7" t="n"/>
      <c r="H39" s="8">
        <f>COUNTIF(D39:G39,"PLANTÃO")</f>
        <v/>
      </c>
    </row>
    <row r="40">
      <c r="A40" s="5" t="inlineStr">
        <is>
          <t>28/01/2027</t>
        </is>
      </c>
      <c r="B40" s="5" t="inlineStr">
        <is>
          <t>Quinta</t>
        </is>
      </c>
      <c r="C40" s="5" t="inlineStr">
        <is>
          <t>Tarde</t>
        </is>
      </c>
      <c r="D40" s="6" t="n"/>
      <c r="E40" s="6" t="n"/>
      <c r="F40" s="6" t="n"/>
      <c r="G40" s="6" t="n"/>
      <c r="H40" s="5">
        <f>COUNTIF(D40:G40,"PLANTÃO")</f>
        <v/>
      </c>
    </row>
    <row r="41">
      <c r="A41" s="7" t="inlineStr">
        <is>
          <t>29/01/2027</t>
        </is>
      </c>
      <c r="B41" s="7" t="inlineStr">
        <is>
          <t>Sexta</t>
        </is>
      </c>
      <c r="C41" s="7" t="inlineStr">
        <is>
          <t>Manhã</t>
        </is>
      </c>
      <c r="D41" s="7" t="n"/>
      <c r="E41" s="7" t="n"/>
      <c r="F41" s="7" t="n"/>
      <c r="G41" s="7" t="n"/>
      <c r="H41" s="8">
        <f>COUNTIF(D41:G41,"PLANTÃO")</f>
        <v/>
      </c>
    </row>
    <row r="42">
      <c r="A42" s="5" t="inlineStr">
        <is>
          <t>29/01/2027</t>
        </is>
      </c>
      <c r="B42" s="5" t="inlineStr">
        <is>
          <t>Sexta</t>
        </is>
      </c>
      <c r="C42" s="5" t="inlineStr">
        <is>
          <t>Tarde</t>
        </is>
      </c>
      <c r="D42" s="6" t="n"/>
      <c r="E42" s="6" t="n"/>
      <c r="F42" s="6" t="n"/>
      <c r="G42" s="6" t="n"/>
      <c r="H42" s="5">
        <f>COUNTIF(D42:G42,"PLANTÃO")</f>
        <v/>
      </c>
    </row>
    <row r="44">
      <c r="A44" s="9" t="inlineStr">
        <is>
          <t>TOTAL DE TURNOS DE PLANTÃO</t>
        </is>
      </c>
      <c r="D44" s="10">
        <f>COUNTIF(D3:D42,"PLANTÃO")</f>
        <v/>
      </c>
      <c r="E44" s="10">
        <f>COUNTIF(E3:E42,"PLANTÃO")</f>
        <v/>
      </c>
      <c r="F44" s="10">
        <f>COUNTIF(F3:F42,"PLANTÃO")</f>
        <v/>
      </c>
      <c r="G44" s="10">
        <f>COUNTIF(G3:G42,"PLANTÃO")</f>
        <v/>
      </c>
    </row>
    <row r="45">
      <c r="A45" s="9" t="inlineStr">
        <is>
          <t>TOTAL DE TURNOS DE DESCANSO</t>
        </is>
      </c>
      <c r="D45" s="10">
        <f>COUNTIF(D3:D42,"FÉRIAS")</f>
        <v/>
      </c>
      <c r="E45" s="10">
        <f>COUNTIF(E3:E42,"FÉRIAS")</f>
        <v/>
      </c>
      <c r="F45" s="10">
        <f>COUNTIF(F3:F42,"FÉRIAS")</f>
        <v/>
      </c>
      <c r="G45" s="10">
        <f>COUNTIF(G3:G42,"FÉRIAS")</f>
        <v/>
      </c>
    </row>
    <row r="46">
      <c r="A46" s="9" t="inlineStr">
        <is>
          <t>SEMANAS DE DESCANSO (÷10 turnos — meta mínima: 3)</t>
        </is>
      </c>
      <c r="D46" s="10">
        <f>ROUND(D45/10,1)</f>
        <v/>
      </c>
      <c r="E46" s="10">
        <f>ROUND(E45/10,1)</f>
        <v/>
      </c>
      <c r="F46" s="10">
        <f>ROUND(F45/10,1)</f>
        <v/>
      </c>
      <c r="G46" s="10">
        <f>ROUND(G45/10,1)</f>
        <v/>
      </c>
    </row>
  </sheetData>
  <mergeCells count="4">
    <mergeCell ref="A45:C45"/>
    <mergeCell ref="A46:C46"/>
    <mergeCell ref="A44:C44"/>
    <mergeCell ref="A1:H1"/>
  </mergeCells>
  <conditionalFormatting sqref="H3:H42">
    <cfRule type="cellIs" priority="1" operator="equal" dxfId="0">
      <formula>0</formula>
    </cfRule>
    <cfRule type="cellIs" priority="2" operator="equal" dxfId="1">
      <formula>1</formula>
    </cfRule>
  </conditionalFormatting>
  <conditionalFormatting sqref="D45:G45">
    <cfRule type="cellIs" priority="3" operator="greaterThanOrEqual" dxfId="1">
      <formula>30</formula>
    </cfRule>
    <cfRule type="cellIs" priority="4" operator="lessThan" dxfId="0">
      <formula>30</formula>
    </cfRule>
  </conditionalFormatting>
  <conditionalFormatting sqref="D46:G46">
    <cfRule type="cellIs" priority="5" operator="greaterThanOrEqual" dxfId="1">
      <formula>3</formula>
    </cfRule>
    <cfRule type="cellIs" priority="6" operator="lessThan" dxfId="0">
      <formula>3</formula>
    </cfRule>
  </conditionalFormatting>
  <dataValidations count="1">
    <dataValidation sqref="D3:D42 E3:E42 F3:F42 G3:G42" showDropDown="0" showInputMessage="0" showErrorMessage="0" allowBlank="1" type="list">
      <formula1>"PLANTÃO,FÉRIAS"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4" customHeight="1">
      <c r="A1" s="11" t="inlineStr">
        <is>
          <t>ESCALA DE PLANTÃO POR TURNO — CICAN — 04 a 29/01/2027</t>
        </is>
      </c>
    </row>
    <row r="3">
      <c r="A3" s="12" t="inlineStr">
        <is>
          <t>Estrutura de turnos da semana</t>
        </is>
      </c>
    </row>
    <row r="4">
      <c r="A4" s="13" t="inlineStr">
        <is>
          <t>Segunda a sexta: manhã e tarde todos os dias. Total: 10 turnos/semana. No período de 4 semanas (04 a 29/01), são 40 turnos no total. (Suposição: se a divisão real de turnos do CICAN for diferente, me avise que eu ajusto.)</t>
        </is>
      </c>
    </row>
    <row r="6">
      <c r="A6" s="12" t="inlineStr">
        <is>
          <t>Como preencher</t>
        </is>
      </c>
    </row>
    <row r="7">
      <c r="A7" s="13" t="inlineStr">
        <is>
          <t>Cada dentista preenche sua própria coluna, turno a turno, escolhendo:</t>
        </is>
      </c>
    </row>
    <row r="8">
      <c r="A8" s="13" t="inlineStr">
        <is>
          <t>• PLANTÃO — está no consultório, atendendo, nesse turno</t>
        </is>
      </c>
    </row>
    <row r="9">
      <c r="A9" s="13" t="inlineStr">
        <is>
          <t>• FÉRIAS — está de descanso nesse turno</t>
        </is>
      </c>
    </row>
    <row r="10">
      <c r="A10" s="13" t="inlineStr">
        <is>
          <t>Ninguém está pré-escalonado — cada um escolhe seus próprios turnos. Os turnos de terça à tarde aparecem destacados em amarelo, por serem os únicos vespertinos da semana.</t>
        </is>
      </c>
    </row>
    <row r="12">
      <c r="A12" s="12" t="inlineStr">
        <is>
          <t>Regras importantes</t>
        </is>
      </c>
    </row>
    <row r="13">
      <c r="A13" s="13" t="inlineStr">
        <is>
          <t>1. Meta de descanso: cada um precisa somar pelo menos 30 turnos de FÉRIAS no período (= 3 semanas, calculando 10 turnos por semana). A linha "SEMANAS DE DESCANSO" mostra o total já convertido e fica verde ao bater 3 semanas.</t>
        </is>
      </c>
    </row>
    <row r="14">
      <c r="A14" s="13" t="inlineStr">
        <is>
          <t>2. Cobertura: a coluna "Cobertura" mostra quantas pessoas estão de PLANTÃO em cada turno. Fica vermelha se ficar em 0 (turno sem ninguém atendendo) e verde quando está em 1 (cobertura ideal).</t>
        </is>
      </c>
    </row>
    <row r="15">
      <c r="A15" s="13" t="inlineStr">
        <is>
          <t>3. Com 40 turnos no período e pelo menos 30 de descanso por pessoa, cada um só tem até 10 turnos de plantão possíveis. Combinem entre vocês para que a soma de plantões cubra os 40 turnos sem sobrar nem faltar gente em nenhum.</t>
        </is>
      </c>
    </row>
    <row r="17">
      <c r="A17" s="12" t="inlineStr">
        <is>
          <t>Equipe (CICAN)</t>
        </is>
      </c>
    </row>
    <row r="18">
      <c r="A18" s="13" t="inlineStr">
        <is>
          <t>Ana Carolina Pondé, Éder Gerardo, Juliana Azevedo, Laura. (Manoela Carrera coordena, mas não entra na escala de assistência do CICAN. Nestor ainda não entra na escala — ingressará em breve.)</t>
        </is>
      </c>
    </row>
    <row r="20">
      <c r="A20" s="12" t="inlineStr">
        <is>
          <t>Nota de elaboração</t>
        </is>
      </c>
    </row>
    <row r="21">
      <c r="A21" s="14" t="inlineStr">
        <is>
          <t>Aqui a conta fecha exata: 4 pessoas × 10 turnos de plantão cada = 40, o total do período — sem sobra. Uma distribuição natural é cada um cobrir uma semana inteira (10 turnos) de plantão e descansar as outras 3 semanas completas. Isso é só uma referência; vocês podem distribuir como preferirem, desde que a cobertura e a meta mínima de 3 semanas sejam respeitadas.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2026-10-27T11:49:51Z</dcterms:created>
  <dcterms:modified xsi:type="dcterms:W3CDTF">2026-10-27T11:49:51Z</dcterms:modified>
</cp:coreProperties>
</file>