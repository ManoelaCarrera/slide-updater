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olha de Turnos" sheetId="1" state="visible" r:id="rId1"/>
    <sheet name="Legenda e 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0"/>
    </font>
    <font>
      <name val="Arial"/>
      <b val="1"/>
      <color rgb="00FFFFFF"/>
      <sz val="14"/>
    </font>
    <font>
      <name val="Arial"/>
      <b val="1"/>
      <color rgb="001F3864"/>
      <sz val="12"/>
    </font>
    <font>
      <name val="Arial"/>
      <color rgb="00000000"/>
      <sz val="11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6" fillId="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9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ESCALA DE PLANTÃO POR TURNO — OSID — 04 a 29/01/2027 (seg a sex manhã + terça tarde)</t>
        </is>
      </c>
    </row>
    <row r="2" ht="36" customHeight="1">
      <c r="A2" s="2" t="inlineStr">
        <is>
          <t>Data</t>
        </is>
      </c>
      <c r="B2" s="2" t="inlineStr">
        <is>
          <t>Dia</t>
        </is>
      </c>
      <c r="C2" s="2" t="inlineStr">
        <is>
          <t>Turno</t>
        </is>
      </c>
      <c r="D2" s="2" t="inlineStr">
        <is>
          <t>Ana Carolina Pondé</t>
        </is>
      </c>
      <c r="E2" s="2" t="inlineStr">
        <is>
          <t>Éder Gerardo</t>
        </is>
      </c>
      <c r="F2" s="2" t="inlineStr">
        <is>
          <t>Juliana Azevedo</t>
        </is>
      </c>
      <c r="G2" s="2" t="inlineStr">
        <is>
          <t>Juliana Borges</t>
        </is>
      </c>
      <c r="H2" s="2" t="inlineStr">
        <is>
          <t>Laura</t>
        </is>
      </c>
      <c r="I2" s="2" t="inlineStr">
        <is>
          <t>Manoela Carrera</t>
        </is>
      </c>
      <c r="J2" s="2" t="inlineStr">
        <is>
          <t>Tila Fortuna</t>
        </is>
      </c>
      <c r="K2" s="2" t="inlineStr">
        <is>
          <t>Cobertura (nº em plantão)</t>
        </is>
      </c>
    </row>
    <row r="3">
      <c r="A3" s="3" t="inlineStr">
        <is>
          <t>04/01/2027</t>
        </is>
      </c>
      <c r="B3" s="3" t="inlineStr">
        <is>
          <t>Segunda</t>
        </is>
      </c>
      <c r="C3" s="3" t="inlineStr">
        <is>
          <t>Manhã</t>
        </is>
      </c>
      <c r="D3" s="3" t="n"/>
      <c r="E3" s="3" t="n"/>
      <c r="F3" s="3" t="n"/>
      <c r="G3" s="3" t="n"/>
      <c r="H3" s="3" t="n"/>
      <c r="I3" s="3" t="n"/>
      <c r="J3" s="3" t="n"/>
      <c r="K3" s="4">
        <f>COUNTIF(D3:J3,"PLANTÃO")</f>
        <v/>
      </c>
    </row>
    <row r="4">
      <c r="A4" s="3" t="inlineStr">
        <is>
          <t>05/01/2027</t>
        </is>
      </c>
      <c r="B4" s="3" t="inlineStr">
        <is>
          <t>Terça</t>
        </is>
      </c>
      <c r="C4" s="3" t="inlineStr">
        <is>
          <t>Manhã</t>
        </is>
      </c>
      <c r="D4" s="3" t="n"/>
      <c r="E4" s="3" t="n"/>
      <c r="F4" s="3" t="n"/>
      <c r="G4" s="3" t="n"/>
      <c r="H4" s="3" t="n"/>
      <c r="I4" s="3" t="n"/>
      <c r="J4" s="3" t="n"/>
      <c r="K4" s="4">
        <f>COUNTIF(D4:J4,"PLANTÃO")</f>
        <v/>
      </c>
    </row>
    <row r="5">
      <c r="A5" s="5" t="inlineStr">
        <is>
          <t>05/01/2027</t>
        </is>
      </c>
      <c r="B5" s="5" t="inlineStr">
        <is>
          <t>Terça</t>
        </is>
      </c>
      <c r="C5" s="5" t="inlineStr">
        <is>
          <t>Tarde</t>
        </is>
      </c>
      <c r="D5" s="6" t="n"/>
      <c r="E5" s="6" t="n"/>
      <c r="F5" s="6" t="n"/>
      <c r="G5" s="6" t="n"/>
      <c r="H5" s="6" t="n"/>
      <c r="I5" s="6" t="n"/>
      <c r="J5" s="6" t="n"/>
      <c r="K5" s="5">
        <f>COUNTIF(D5:J5,"PLANTÃO")</f>
        <v/>
      </c>
    </row>
    <row r="6">
      <c r="A6" s="3" t="inlineStr">
        <is>
          <t>06/01/2027</t>
        </is>
      </c>
      <c r="B6" s="3" t="inlineStr">
        <is>
          <t>Quarta</t>
        </is>
      </c>
      <c r="C6" s="3" t="inlineStr">
        <is>
          <t>Manhã</t>
        </is>
      </c>
      <c r="D6" s="3" t="n"/>
      <c r="E6" s="3" t="n"/>
      <c r="F6" s="3" t="n"/>
      <c r="G6" s="3" t="n"/>
      <c r="H6" s="3" t="n"/>
      <c r="I6" s="3" t="n"/>
      <c r="J6" s="3" t="n"/>
      <c r="K6" s="4">
        <f>COUNTIF(D6:J6,"PLANTÃO")</f>
        <v/>
      </c>
    </row>
    <row r="7">
      <c r="A7" s="3" t="inlineStr">
        <is>
          <t>07/01/2027</t>
        </is>
      </c>
      <c r="B7" s="3" t="inlineStr">
        <is>
          <t>Quinta</t>
        </is>
      </c>
      <c r="C7" s="3" t="inlineStr">
        <is>
          <t>Manhã</t>
        </is>
      </c>
      <c r="D7" s="3" t="n"/>
      <c r="E7" s="3" t="n"/>
      <c r="F7" s="3" t="n"/>
      <c r="G7" s="3" t="n"/>
      <c r="H7" s="3" t="n"/>
      <c r="I7" s="3" t="n"/>
      <c r="J7" s="3" t="n"/>
      <c r="K7" s="4">
        <f>COUNTIF(D7:J7,"PLANTÃO")</f>
        <v/>
      </c>
    </row>
    <row r="8">
      <c r="A8" s="3" t="inlineStr">
        <is>
          <t>08/01/2027</t>
        </is>
      </c>
      <c r="B8" s="3" t="inlineStr">
        <is>
          <t>Sexta</t>
        </is>
      </c>
      <c r="C8" s="3" t="inlineStr">
        <is>
          <t>Manhã</t>
        </is>
      </c>
      <c r="D8" s="3" t="n"/>
      <c r="E8" s="3" t="n"/>
      <c r="F8" s="3" t="n"/>
      <c r="G8" s="3" t="n"/>
      <c r="H8" s="3" t="n"/>
      <c r="I8" s="3" t="n"/>
      <c r="J8" s="3" t="n"/>
      <c r="K8" s="4">
        <f>COUNTIF(D8:J8,"PLANTÃO")</f>
        <v/>
      </c>
    </row>
    <row r="9">
      <c r="A9" s="7" t="inlineStr">
        <is>
          <t>11/01/2027</t>
        </is>
      </c>
      <c r="B9" s="7" t="inlineStr">
        <is>
          <t>Segunda</t>
        </is>
      </c>
      <c r="C9" s="7" t="inlineStr">
        <is>
          <t>Manhã</t>
        </is>
      </c>
      <c r="D9" s="7" t="n"/>
      <c r="E9" s="7" t="n"/>
      <c r="F9" s="7" t="n"/>
      <c r="G9" s="7" t="n"/>
      <c r="H9" s="7" t="n"/>
      <c r="I9" s="7" t="n"/>
      <c r="J9" s="7" t="n"/>
      <c r="K9" s="8">
        <f>COUNTIF(D9:J9,"PLANTÃO")</f>
        <v/>
      </c>
    </row>
    <row r="10">
      <c r="A10" s="7" t="inlineStr">
        <is>
          <t>12/01/2027</t>
        </is>
      </c>
      <c r="B10" s="7" t="inlineStr">
        <is>
          <t>Terça</t>
        </is>
      </c>
      <c r="C10" s="7" t="inlineStr">
        <is>
          <t>Manhã</t>
        </is>
      </c>
      <c r="D10" s="7" t="n"/>
      <c r="E10" s="7" t="n"/>
      <c r="F10" s="7" t="n"/>
      <c r="G10" s="7" t="n"/>
      <c r="H10" s="7" t="n"/>
      <c r="I10" s="7" t="n"/>
      <c r="J10" s="7" t="n"/>
      <c r="K10" s="8">
        <f>COUNTIF(D10:J10,"PLANTÃO")</f>
        <v/>
      </c>
    </row>
    <row r="11">
      <c r="A11" s="5" t="inlineStr">
        <is>
          <t>12/01/2027</t>
        </is>
      </c>
      <c r="B11" s="5" t="inlineStr">
        <is>
          <t>Terça</t>
        </is>
      </c>
      <c r="C11" s="5" t="inlineStr">
        <is>
          <t>Tarde</t>
        </is>
      </c>
      <c r="D11" s="6" t="n"/>
      <c r="E11" s="6" t="n"/>
      <c r="F11" s="6" t="n"/>
      <c r="G11" s="6" t="n"/>
      <c r="H11" s="6" t="n"/>
      <c r="I11" s="6" t="n"/>
      <c r="J11" s="6" t="n"/>
      <c r="K11" s="5">
        <f>COUNTIF(D11:J11,"PLANTÃO")</f>
        <v/>
      </c>
    </row>
    <row r="12">
      <c r="A12" s="7" t="inlineStr">
        <is>
          <t>13/01/2027</t>
        </is>
      </c>
      <c r="B12" s="7" t="inlineStr">
        <is>
          <t>Quarta</t>
        </is>
      </c>
      <c r="C12" s="7" t="inlineStr">
        <is>
          <t>Manhã</t>
        </is>
      </c>
      <c r="D12" s="7" t="n"/>
      <c r="E12" s="7" t="n"/>
      <c r="F12" s="7" t="n"/>
      <c r="G12" s="7" t="n"/>
      <c r="H12" s="7" t="n"/>
      <c r="I12" s="7" t="n"/>
      <c r="J12" s="7" t="n"/>
      <c r="K12" s="8">
        <f>COUNTIF(D12:J12,"PLANTÃO")</f>
        <v/>
      </c>
    </row>
    <row r="13">
      <c r="A13" s="7" t="inlineStr">
        <is>
          <t>14/01/2027</t>
        </is>
      </c>
      <c r="B13" s="7" t="inlineStr">
        <is>
          <t>Quinta</t>
        </is>
      </c>
      <c r="C13" s="7" t="inlineStr">
        <is>
          <t>Manhã</t>
        </is>
      </c>
      <c r="D13" s="7" t="n"/>
      <c r="E13" s="7" t="n"/>
      <c r="F13" s="7" t="n"/>
      <c r="G13" s="7" t="n"/>
      <c r="H13" s="7" t="n"/>
      <c r="I13" s="7" t="n"/>
      <c r="J13" s="7" t="n"/>
      <c r="K13" s="8">
        <f>COUNTIF(D13:J13,"PLANTÃO")</f>
        <v/>
      </c>
    </row>
    <row r="14">
      <c r="A14" s="7" t="inlineStr">
        <is>
          <t>15/01/2027</t>
        </is>
      </c>
      <c r="B14" s="7" t="inlineStr">
        <is>
          <t>Sexta</t>
        </is>
      </c>
      <c r="C14" s="7" t="inlineStr">
        <is>
          <t>Manhã</t>
        </is>
      </c>
      <c r="D14" s="7" t="n"/>
      <c r="E14" s="7" t="n"/>
      <c r="F14" s="7" t="n"/>
      <c r="G14" s="7" t="n"/>
      <c r="H14" s="7" t="n"/>
      <c r="I14" s="7" t="n"/>
      <c r="J14" s="7" t="n"/>
      <c r="K14" s="8">
        <f>COUNTIF(D14:J14,"PLANTÃO")</f>
        <v/>
      </c>
    </row>
    <row r="15">
      <c r="A15" s="3" t="inlineStr">
        <is>
          <t>18/01/2027</t>
        </is>
      </c>
      <c r="B15" s="3" t="inlineStr">
        <is>
          <t>Segunda</t>
        </is>
      </c>
      <c r="C15" s="3" t="inlineStr">
        <is>
          <t>Manhã</t>
        </is>
      </c>
      <c r="D15" s="3" t="n"/>
      <c r="E15" s="3" t="n"/>
      <c r="F15" s="3" t="n"/>
      <c r="G15" s="3" t="n"/>
      <c r="H15" s="3" t="n"/>
      <c r="I15" s="3" t="n"/>
      <c r="J15" s="3" t="n"/>
      <c r="K15" s="4">
        <f>COUNTIF(D15:J15,"PLANTÃO")</f>
        <v/>
      </c>
    </row>
    <row r="16">
      <c r="A16" s="3" t="inlineStr">
        <is>
          <t>19/01/2027</t>
        </is>
      </c>
      <c r="B16" s="3" t="inlineStr">
        <is>
          <t>Terça</t>
        </is>
      </c>
      <c r="C16" s="3" t="inlineStr">
        <is>
          <t>Manhã</t>
        </is>
      </c>
      <c r="D16" s="3" t="n"/>
      <c r="E16" s="3" t="n"/>
      <c r="F16" s="3" t="n"/>
      <c r="G16" s="3" t="n"/>
      <c r="H16" s="3" t="n"/>
      <c r="I16" s="3" t="n"/>
      <c r="J16" s="3" t="n"/>
      <c r="K16" s="4">
        <f>COUNTIF(D16:J16,"PLANTÃO")</f>
        <v/>
      </c>
    </row>
    <row r="17">
      <c r="A17" s="5" t="inlineStr">
        <is>
          <t>19/01/2027</t>
        </is>
      </c>
      <c r="B17" s="5" t="inlineStr">
        <is>
          <t>Terça</t>
        </is>
      </c>
      <c r="C17" s="5" t="inlineStr">
        <is>
          <t>Tarde</t>
        </is>
      </c>
      <c r="D17" s="6" t="n"/>
      <c r="E17" s="6" t="n"/>
      <c r="F17" s="6" t="n"/>
      <c r="G17" s="6" t="n"/>
      <c r="H17" s="6" t="n"/>
      <c r="I17" s="6" t="n"/>
      <c r="J17" s="6" t="n"/>
      <c r="K17" s="5">
        <f>COUNTIF(D17:J17,"PLANTÃO")</f>
        <v/>
      </c>
    </row>
    <row r="18">
      <c r="A18" s="3" t="inlineStr">
        <is>
          <t>20/01/2027</t>
        </is>
      </c>
      <c r="B18" s="3" t="inlineStr">
        <is>
          <t>Quarta</t>
        </is>
      </c>
      <c r="C18" s="3" t="inlineStr">
        <is>
          <t>Manhã</t>
        </is>
      </c>
      <c r="D18" s="3" t="n"/>
      <c r="E18" s="3" t="n"/>
      <c r="F18" s="3" t="n"/>
      <c r="G18" s="3" t="n"/>
      <c r="H18" s="3" t="n"/>
      <c r="I18" s="3" t="n"/>
      <c r="J18" s="3" t="n"/>
      <c r="K18" s="4">
        <f>COUNTIF(D18:J18,"PLANTÃO")</f>
        <v/>
      </c>
    </row>
    <row r="19">
      <c r="A19" s="3" t="inlineStr">
        <is>
          <t>21/01/2027</t>
        </is>
      </c>
      <c r="B19" s="3" t="inlineStr">
        <is>
          <t>Quinta</t>
        </is>
      </c>
      <c r="C19" s="3" t="inlineStr">
        <is>
          <t>Manhã</t>
        </is>
      </c>
      <c r="D19" s="3" t="n"/>
      <c r="E19" s="3" t="n"/>
      <c r="F19" s="3" t="n"/>
      <c r="G19" s="3" t="n"/>
      <c r="H19" s="3" t="n"/>
      <c r="I19" s="3" t="n"/>
      <c r="J19" s="3" t="n"/>
      <c r="K19" s="4">
        <f>COUNTIF(D19:J19,"PLANTÃO")</f>
        <v/>
      </c>
    </row>
    <row r="20">
      <c r="A20" s="3" t="inlineStr">
        <is>
          <t>22/01/2027</t>
        </is>
      </c>
      <c r="B20" s="3" t="inlineStr">
        <is>
          <t>Sexta</t>
        </is>
      </c>
      <c r="C20" s="3" t="inlineStr">
        <is>
          <t>Manhã</t>
        </is>
      </c>
      <c r="D20" s="3" t="n"/>
      <c r="E20" s="3" t="n"/>
      <c r="F20" s="3" t="n"/>
      <c r="G20" s="3" t="n"/>
      <c r="H20" s="3" t="n"/>
      <c r="I20" s="3" t="n"/>
      <c r="J20" s="3" t="n"/>
      <c r="K20" s="4">
        <f>COUNTIF(D20:J20,"PLANTÃO")</f>
        <v/>
      </c>
    </row>
    <row r="21">
      <c r="A21" s="7" t="inlineStr">
        <is>
          <t>25/01/2027</t>
        </is>
      </c>
      <c r="B21" s="7" t="inlineStr">
        <is>
          <t>Segunda</t>
        </is>
      </c>
      <c r="C21" s="7" t="inlineStr">
        <is>
          <t>Manhã</t>
        </is>
      </c>
      <c r="D21" s="7" t="n"/>
      <c r="E21" s="7" t="n"/>
      <c r="F21" s="7" t="n"/>
      <c r="G21" s="7" t="n"/>
      <c r="H21" s="7" t="n"/>
      <c r="I21" s="7" t="n"/>
      <c r="J21" s="7" t="n"/>
      <c r="K21" s="8">
        <f>COUNTIF(D21:J21,"PLANTÃO")</f>
        <v/>
      </c>
    </row>
    <row r="22">
      <c r="A22" s="7" t="inlineStr">
        <is>
          <t>26/01/2027</t>
        </is>
      </c>
      <c r="B22" s="7" t="inlineStr">
        <is>
          <t>Terça</t>
        </is>
      </c>
      <c r="C22" s="7" t="inlineStr">
        <is>
          <t>Manhã</t>
        </is>
      </c>
      <c r="D22" s="7" t="n"/>
      <c r="E22" s="7" t="n"/>
      <c r="F22" s="7" t="n"/>
      <c r="G22" s="7" t="n"/>
      <c r="H22" s="7" t="n"/>
      <c r="I22" s="7" t="n"/>
      <c r="J22" s="7" t="n"/>
      <c r="K22" s="8">
        <f>COUNTIF(D22:J22,"PLANTÃO")</f>
        <v/>
      </c>
    </row>
    <row r="23">
      <c r="A23" s="5" t="inlineStr">
        <is>
          <t>26/01/2027</t>
        </is>
      </c>
      <c r="B23" s="5" t="inlineStr">
        <is>
          <t>Terça</t>
        </is>
      </c>
      <c r="C23" s="5" t="inlineStr">
        <is>
          <t>Tarde</t>
        </is>
      </c>
      <c r="D23" s="6" t="n"/>
      <c r="E23" s="6" t="n"/>
      <c r="F23" s="6" t="n"/>
      <c r="G23" s="6" t="n"/>
      <c r="H23" s="6" t="n"/>
      <c r="I23" s="6" t="n"/>
      <c r="J23" s="6" t="n"/>
      <c r="K23" s="5">
        <f>COUNTIF(D23:J23,"PLANTÃO")</f>
        <v/>
      </c>
    </row>
    <row r="24">
      <c r="A24" s="7" t="inlineStr">
        <is>
          <t>27/01/2027</t>
        </is>
      </c>
      <c r="B24" s="7" t="inlineStr">
        <is>
          <t>Quarta</t>
        </is>
      </c>
      <c r="C24" s="7" t="inlineStr">
        <is>
          <t>Manhã</t>
        </is>
      </c>
      <c r="D24" s="7" t="n"/>
      <c r="E24" s="7" t="n"/>
      <c r="F24" s="7" t="n"/>
      <c r="G24" s="7" t="n"/>
      <c r="H24" s="7" t="n"/>
      <c r="I24" s="7" t="n"/>
      <c r="J24" s="7" t="n"/>
      <c r="K24" s="8">
        <f>COUNTIF(D24:J24,"PLANTÃO")</f>
        <v/>
      </c>
    </row>
    <row r="25">
      <c r="A25" s="7" t="inlineStr">
        <is>
          <t>28/01/2027</t>
        </is>
      </c>
      <c r="B25" s="7" t="inlineStr">
        <is>
          <t>Quinta</t>
        </is>
      </c>
      <c r="C25" s="7" t="inlineStr">
        <is>
          <t>Manhã</t>
        </is>
      </c>
      <c r="D25" s="7" t="n"/>
      <c r="E25" s="7" t="n"/>
      <c r="F25" s="7" t="n"/>
      <c r="G25" s="7" t="n"/>
      <c r="H25" s="7" t="n"/>
      <c r="I25" s="7" t="n"/>
      <c r="J25" s="7" t="n"/>
      <c r="K25" s="8">
        <f>COUNTIF(D25:J25,"PLANTÃO")</f>
        <v/>
      </c>
    </row>
    <row r="26">
      <c r="A26" s="7" t="inlineStr">
        <is>
          <t>29/01/2027</t>
        </is>
      </c>
      <c r="B26" s="7" t="inlineStr">
        <is>
          <t>Sexta</t>
        </is>
      </c>
      <c r="C26" s="7" t="inlineStr">
        <is>
          <t>Manhã</t>
        </is>
      </c>
      <c r="D26" s="7" t="n"/>
      <c r="E26" s="7" t="n"/>
      <c r="F26" s="7" t="n"/>
      <c r="G26" s="7" t="n"/>
      <c r="H26" s="7" t="n"/>
      <c r="I26" s="7" t="n"/>
      <c r="J26" s="7" t="n"/>
      <c r="K26" s="8">
        <f>COUNTIF(D26:J26,"PLANTÃO")</f>
        <v/>
      </c>
    </row>
    <row r="28">
      <c r="A28" s="9" t="inlineStr">
        <is>
          <t>TOTAL DE TURNOS DE PLANTÃO</t>
        </is>
      </c>
      <c r="D28" s="10">
        <f>COUNTIF(D3:D26,"PLANTÃO")</f>
        <v/>
      </c>
      <c r="E28" s="10">
        <f>COUNTIF(E3:E26,"PLANTÃO")</f>
        <v/>
      </c>
      <c r="F28" s="10">
        <f>COUNTIF(F3:F26,"PLANTÃO")</f>
        <v/>
      </c>
      <c r="G28" s="10">
        <f>COUNTIF(G3:G26,"PLANTÃO")</f>
        <v/>
      </c>
      <c r="H28" s="10">
        <f>COUNTIF(H3:H26,"PLANTÃO")</f>
        <v/>
      </c>
      <c r="I28" s="10">
        <f>COUNTIF(I3:I26,"PLANTÃO")</f>
        <v/>
      </c>
      <c r="J28" s="10">
        <f>COUNTIF(J3:J26,"PLANTÃO")</f>
        <v/>
      </c>
    </row>
    <row r="29">
      <c r="A29" s="9" t="inlineStr">
        <is>
          <t>TOTAL DE TURNOS DE DESCANSO</t>
        </is>
      </c>
      <c r="D29" s="10">
        <f>COUNTIF(D3:D26,"FÉRIAS")</f>
        <v/>
      </c>
      <c r="E29" s="10">
        <f>COUNTIF(E3:E26,"FÉRIAS")</f>
        <v/>
      </c>
      <c r="F29" s="10">
        <f>COUNTIF(F3:F26,"FÉRIAS")</f>
        <v/>
      </c>
      <c r="G29" s="10">
        <f>COUNTIF(G3:G26,"FÉRIAS")</f>
        <v/>
      </c>
      <c r="H29" s="10">
        <f>COUNTIF(H3:H26,"FÉRIAS")</f>
        <v/>
      </c>
      <c r="I29" s="10">
        <f>COUNTIF(I3:I26,"FÉRIAS")</f>
        <v/>
      </c>
      <c r="J29" s="10">
        <f>COUNTIF(J3:J26,"FÉRIAS")</f>
        <v/>
      </c>
    </row>
    <row r="30">
      <c r="A30" s="9" t="inlineStr">
        <is>
          <t>SEMANAS DE DESCANSO (÷6 turnos — meta mínima: 3)</t>
        </is>
      </c>
      <c r="D30" s="10">
        <f>ROUND(D29/6,1)</f>
        <v/>
      </c>
      <c r="E30" s="10">
        <f>ROUND(E29/6,1)</f>
        <v/>
      </c>
      <c r="F30" s="10">
        <f>ROUND(F29/6,1)</f>
        <v/>
      </c>
      <c r="G30" s="10">
        <f>ROUND(G29/6,1)</f>
        <v/>
      </c>
      <c r="H30" s="10">
        <f>ROUND(H29/6,1)</f>
        <v/>
      </c>
      <c r="I30" s="10">
        <f>ROUND(I29/6,1)</f>
        <v/>
      </c>
      <c r="J30" s="10">
        <f>ROUND(J29/6,1)</f>
        <v/>
      </c>
    </row>
  </sheetData>
  <mergeCells count="4">
    <mergeCell ref="A29:C29"/>
    <mergeCell ref="A28:C28"/>
    <mergeCell ref="A1:K1"/>
    <mergeCell ref="A30:C30"/>
  </mergeCells>
  <conditionalFormatting sqref="K3:K26">
    <cfRule type="cellIs" priority="1" operator="equal" dxfId="0">
      <formula>0</formula>
    </cfRule>
    <cfRule type="cellIs" priority="2" operator="equal" dxfId="1">
      <formula>1</formula>
    </cfRule>
  </conditionalFormatting>
  <conditionalFormatting sqref="D29:J29">
    <cfRule type="cellIs" priority="3" operator="greaterThanOrEqual" dxfId="1">
      <formula>18</formula>
    </cfRule>
    <cfRule type="cellIs" priority="4" operator="lessThan" dxfId="0">
      <formula>18</formula>
    </cfRule>
  </conditionalFormatting>
  <conditionalFormatting sqref="D30:J30">
    <cfRule type="cellIs" priority="5" operator="greaterThanOrEqual" dxfId="1">
      <formula>3</formula>
    </cfRule>
    <cfRule type="cellIs" priority="6" operator="lessThan" dxfId="0">
      <formula>3</formula>
    </cfRule>
  </conditionalFormatting>
  <dataValidations count="1">
    <dataValidation sqref="D3:D26 E3:E26 F3:F26 G3:G26 H3:H26 I3:I26 J3:J26" showDropDown="0" showInputMessage="0" showErrorMessage="0" allowBlank="1" type="list">
      <formula1>"PLANTÃO,FÉRIAS"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 ht="24" customHeight="1">
      <c r="A1" s="11" t="inlineStr">
        <is>
          <t>ESCALA DE PLANTÃO POR TURNO — OSID — 04 a 29/01/2027</t>
        </is>
      </c>
    </row>
    <row r="3">
      <c r="A3" s="12" t="inlineStr">
        <is>
          <t>Estrutura de turnos da semana</t>
        </is>
      </c>
    </row>
    <row r="4">
      <c r="A4" s="13" t="inlineStr">
        <is>
          <t>Segunda a sexta: 1 turno de manhã cada. Terça: manhã + tarde (único turno vespertino da semana). Total: 6 turnos/semana. No período de 4 semanas (04 a 29/01), são 24 turnos no total.</t>
        </is>
      </c>
    </row>
    <row r="6">
      <c r="A6" s="12" t="inlineStr">
        <is>
          <t>Como preencher</t>
        </is>
      </c>
    </row>
    <row r="7">
      <c r="A7" s="13" t="inlineStr">
        <is>
          <t>Cada dentista preenche sua própria coluna, turno a turno, escolhendo:</t>
        </is>
      </c>
    </row>
    <row r="8">
      <c r="A8" s="13" t="inlineStr">
        <is>
          <t>• PLANTÃO — está no consultório, atendendo, nesse turno</t>
        </is>
      </c>
    </row>
    <row r="9">
      <c r="A9" s="13" t="inlineStr">
        <is>
          <t>• FÉRIAS — está de descanso nesse turno</t>
        </is>
      </c>
    </row>
    <row r="10">
      <c r="A10" s="13" t="inlineStr">
        <is>
          <t>Ninguém está pré-escalonado — cada um escolhe seus próprios turnos. Os turnos de terça à tarde aparecem destacados em amarelo, por serem os únicos vespertinos da semana.</t>
        </is>
      </c>
    </row>
    <row r="12">
      <c r="A12" s="12" t="inlineStr">
        <is>
          <t>Regras importantes</t>
        </is>
      </c>
    </row>
    <row r="13">
      <c r="A13" s="13" t="inlineStr">
        <is>
          <t>1. Meta de descanso: cada um precisa somar pelo menos 18 turnos de FÉRIAS no período (= 3 semanas, calculando 6 turnos por semana). A linha "SEMANAS DE DESCANSO" mostra o total já convertido e fica verde ao bater 3 semanas.</t>
        </is>
      </c>
    </row>
    <row r="14">
      <c r="A14" s="13" t="inlineStr">
        <is>
          <t>2. Cobertura: a coluna "Cobertura" mostra quantas pessoas estão de PLANTÃO em cada turno. Fica vermelha se ficar em 0 (turno sem ningém atendendo) e verde quando está em 1 (cobertura ideal).</t>
        </is>
      </c>
    </row>
    <row r="15">
      <c r="A15" s="13" t="inlineStr">
        <is>
          <t>3. Com 24 turnos no período e pelo menos 18 de descanso por pessoa, cada um só tem de 2 a 6 turnos de plantão possíveis. Combinem entre vocês para que a soma de plantões cubra os 24 turnos sem sobrar nem faltar gente em nenhum.</t>
        </is>
      </c>
    </row>
    <row r="17">
      <c r="A17" s="12" t="inlineStr">
        <is>
          <t>Equipe (OSID)</t>
        </is>
      </c>
    </row>
    <row r="18">
      <c r="A18" s="13" t="inlineStr">
        <is>
          <t>Ana Carolina Pondé, Éder Gerardo, Juliana Azevedo, Juliana Borges, Laura, Manoela Carrera, Tila Fortuna.</t>
        </is>
      </c>
    </row>
    <row r="20">
      <c r="A20" s="12" t="inlineStr">
        <is>
          <t>Nota de elaboração</t>
        </is>
      </c>
    </row>
    <row r="21">
      <c r="A21" s="14" t="inlineStr">
        <is>
          <t>Se dividirem os 24 turnos o mais igual possível entre os 7, dá algo como 3 pessoas com 4 turnos de plantão e 4 pessoas com 3 turnos — nesse caso todo mundo passa de 3 semanas de descanso (fica entre 3,3 e 3,5 semanas). Isso é só uma referência; vocês podem distribuir como preferirem, desde que a cobertura e a meta mínima sejam respeitadas.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2026-10-27T11:45:52Z</dcterms:created>
  <dcterms:modified xsi:type="dcterms:W3CDTF">2026-10-27T11:45:52Z</dcterms:modified>
</cp:coreProperties>
</file>