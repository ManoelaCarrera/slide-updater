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colha de Turnos" sheetId="1" state="visible" r:id="rId1"/>
    <sheet name="Legenda e Instruções"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b val="1"/>
      <color rgb="00FFFFFF"/>
      <sz val="10"/>
    </font>
    <font>
      <name val="Arial"/>
      <color rgb="00000000"/>
      <sz val="10"/>
    </font>
    <font>
      <name val="Arial"/>
      <sz val="10"/>
    </font>
    <font>
      <name val="Arial"/>
      <b val="1"/>
      <sz val="10"/>
    </font>
    <font>
      <name val="Arial"/>
      <i val="1"/>
      <color rgb="00808080"/>
      <sz val="10"/>
    </font>
    <font>
      <name val="Arial"/>
      <i val="1"/>
      <color rgb="00A6A6A6"/>
      <sz val="9"/>
    </font>
    <font>
      <name val="Arial"/>
      <b val="1"/>
      <color rgb="001F3864"/>
      <sz val="10"/>
    </font>
    <font>
      <name val="Arial"/>
      <b val="1"/>
      <color rgb="00FFFFFF"/>
      <sz val="14"/>
    </font>
    <font>
      <name val="Arial"/>
      <b val="1"/>
      <color rgb="001F3864"/>
      <sz val="12"/>
    </font>
    <font>
      <name val="Arial"/>
      <color rgb="00000000"/>
      <sz val="11"/>
    </font>
  </fonts>
  <fills count="6">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5" fillId="5" borderId="1" applyAlignment="1" pivotButton="0" quotePrefix="0" xfId="0">
      <alignment horizontal="center" vertical="center"/>
    </xf>
    <xf numFmtId="0" fontId="8" fillId="0" borderId="0" pivotButton="0" quotePrefix="0" xfId="0"/>
    <xf numFmtId="0" fontId="5" fillId="0" borderId="1" applyAlignment="1" pivotButton="0" quotePrefix="0" xfId="0">
      <alignment horizontal="center" vertical="center"/>
    </xf>
    <xf numFmtId="0" fontId="9" fillId="2"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2">
    <dxf>
      <fill>
        <patternFill patternType="solid">
          <fgColor rgb="00F8CBAD"/>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0" customHeight="1">
      <c r="A1" s="1" t="inlineStr">
        <is>
          <t>ESCALA DE PLANTÃO — OSID — 04 a 29/01/2027 (atendimento seg. a sex.) — cada um escolhe seus dias</t>
        </is>
      </c>
    </row>
    <row r="2" ht="36" customHeight="1">
      <c r="A2" s="2" t="inlineStr">
        <is>
          <t>Data</t>
        </is>
      </c>
      <c r="B2" s="2" t="inlineStr">
        <is>
          <t>Dia</t>
        </is>
      </c>
      <c r="C2" s="2" t="inlineStr">
        <is>
          <t>Ana Carolina Pondé</t>
        </is>
      </c>
      <c r="D2" s="2" t="inlineStr">
        <is>
          <t>Éder Gerardo</t>
        </is>
      </c>
      <c r="E2" s="2" t="inlineStr">
        <is>
          <t>Juliana Azevedo</t>
        </is>
      </c>
      <c r="F2" s="2" t="inlineStr">
        <is>
          <t>Juliana Borges</t>
        </is>
      </c>
      <c r="G2" s="2" t="inlineStr">
        <is>
          <t>Laura</t>
        </is>
      </c>
      <c r="H2" s="2" t="inlineStr">
        <is>
          <t>Manoela Carrera</t>
        </is>
      </c>
      <c r="I2" s="2" t="inlineStr">
        <is>
          <t>Tila Fortuna</t>
        </is>
      </c>
      <c r="J2" s="2" t="inlineStr">
        <is>
          <t>Cobertura (nº em plantão)</t>
        </is>
      </c>
    </row>
    <row r="3">
      <c r="A3" s="3" t="inlineStr">
        <is>
          <t>04/01/2027</t>
        </is>
      </c>
      <c r="B3" s="3" t="inlineStr">
        <is>
          <t>Segunda</t>
        </is>
      </c>
      <c r="C3" s="4" t="n"/>
      <c r="D3" s="4" t="n"/>
      <c r="E3" s="4" t="n"/>
      <c r="F3" s="4" t="n"/>
      <c r="G3" s="4" t="n"/>
      <c r="H3" s="4" t="n"/>
      <c r="I3" s="4" t="n"/>
      <c r="J3" s="5">
        <f>COUNTIF(C3:I3,"PLANTÃO")</f>
        <v/>
      </c>
    </row>
    <row r="4">
      <c r="A4" s="6" t="inlineStr">
        <is>
          <t>05/01/2027</t>
        </is>
      </c>
      <c r="B4" s="6" t="inlineStr">
        <is>
          <t>Terça</t>
        </is>
      </c>
      <c r="C4" s="7" t="n"/>
      <c r="D4" s="7" t="n"/>
      <c r="E4" s="7" t="n"/>
      <c r="F4" s="7" t="n"/>
      <c r="G4" s="7" t="n"/>
      <c r="H4" s="7" t="n"/>
      <c r="I4" s="7" t="n"/>
      <c r="J4" s="8">
        <f>COUNTIF(C4:I4,"PLANTÃO")</f>
        <v/>
      </c>
    </row>
    <row r="5">
      <c r="A5" s="3" t="inlineStr">
        <is>
          <t>06/01/2027</t>
        </is>
      </c>
      <c r="B5" s="3" t="inlineStr">
        <is>
          <t>Quarta</t>
        </is>
      </c>
      <c r="C5" s="4" t="n"/>
      <c r="D5" s="4" t="n"/>
      <c r="E5" s="4" t="n"/>
      <c r="F5" s="4" t="n"/>
      <c r="G5" s="4" t="n"/>
      <c r="H5" s="4" t="n"/>
      <c r="I5" s="4" t="n"/>
      <c r="J5" s="5">
        <f>COUNTIF(C5:I5,"PLANTÃO")</f>
        <v/>
      </c>
    </row>
    <row r="6">
      <c r="A6" s="6" t="inlineStr">
        <is>
          <t>07/01/2027</t>
        </is>
      </c>
      <c r="B6" s="6" t="inlineStr">
        <is>
          <t>Quinta</t>
        </is>
      </c>
      <c r="C6" s="7" t="n"/>
      <c r="D6" s="7" t="n"/>
      <c r="E6" s="7" t="n"/>
      <c r="F6" s="7" t="n"/>
      <c r="G6" s="7" t="n"/>
      <c r="H6" s="7" t="n"/>
      <c r="I6" s="7" t="n"/>
      <c r="J6" s="8">
        <f>COUNTIF(C6:I6,"PLANTÃO")</f>
        <v/>
      </c>
    </row>
    <row r="7">
      <c r="A7" s="3" t="inlineStr">
        <is>
          <t>08/01/2027</t>
        </is>
      </c>
      <c r="B7" s="3" t="inlineStr">
        <is>
          <t>Sexta</t>
        </is>
      </c>
      <c r="C7" s="4" t="n"/>
      <c r="D7" s="4" t="n"/>
      <c r="E7" s="4" t="n"/>
      <c r="F7" s="4" t="n"/>
      <c r="G7" s="4" t="n"/>
      <c r="H7" s="4" t="n"/>
      <c r="I7" s="4" t="n"/>
      <c r="J7" s="5">
        <f>COUNTIF(C7:I7,"PLANTÃO")</f>
        <v/>
      </c>
    </row>
    <row r="8">
      <c r="A8" s="9" t="inlineStr">
        <is>
          <t>09/01/2027</t>
        </is>
      </c>
      <c r="B8" s="9" t="inlineStr">
        <is>
          <t>Sábado</t>
        </is>
      </c>
      <c r="C8" s="10" t="inlineStr">
        <is>
          <t>FECHADO</t>
        </is>
      </c>
      <c r="D8" s="10" t="inlineStr">
        <is>
          <t>FECHADO</t>
        </is>
      </c>
      <c r="E8" s="10" t="inlineStr">
        <is>
          <t>FECHADO</t>
        </is>
      </c>
      <c r="F8" s="10" t="inlineStr">
        <is>
          <t>FECHADO</t>
        </is>
      </c>
      <c r="G8" s="10" t="inlineStr">
        <is>
          <t>FECHADO</t>
        </is>
      </c>
      <c r="H8" s="10" t="inlineStr">
        <is>
          <t>FECHADO</t>
        </is>
      </c>
      <c r="I8" s="10" t="inlineStr">
        <is>
          <t>FECHADO</t>
        </is>
      </c>
      <c r="J8" s="11" t="inlineStr">
        <is>
          <t>—</t>
        </is>
      </c>
    </row>
    <row r="9">
      <c r="A9" s="9" t="inlineStr">
        <is>
          <t>10/01/2027</t>
        </is>
      </c>
      <c r="B9" s="9" t="inlineStr">
        <is>
          <t>Domingo</t>
        </is>
      </c>
      <c r="C9" s="10" t="inlineStr">
        <is>
          <t>FECHADO</t>
        </is>
      </c>
      <c r="D9" s="10" t="inlineStr">
        <is>
          <t>FECHADO</t>
        </is>
      </c>
      <c r="E9" s="10" t="inlineStr">
        <is>
          <t>FECHADO</t>
        </is>
      </c>
      <c r="F9" s="10" t="inlineStr">
        <is>
          <t>FECHADO</t>
        </is>
      </c>
      <c r="G9" s="10" t="inlineStr">
        <is>
          <t>FECHADO</t>
        </is>
      </c>
      <c r="H9" s="10" t="inlineStr">
        <is>
          <t>FECHADO</t>
        </is>
      </c>
      <c r="I9" s="10" t="inlineStr">
        <is>
          <t>FECHADO</t>
        </is>
      </c>
      <c r="J9" s="11" t="inlineStr">
        <is>
          <t>—</t>
        </is>
      </c>
    </row>
    <row r="10">
      <c r="A10" s="6" t="inlineStr">
        <is>
          <t>11/01/2027</t>
        </is>
      </c>
      <c r="B10" s="6" t="inlineStr">
        <is>
          <t>Segunda</t>
        </is>
      </c>
      <c r="C10" s="7" t="n"/>
      <c r="D10" s="7" t="n"/>
      <c r="E10" s="7" t="n"/>
      <c r="F10" s="7" t="n"/>
      <c r="G10" s="7" t="n"/>
      <c r="H10" s="7" t="n"/>
      <c r="I10" s="7" t="n"/>
      <c r="J10" s="8">
        <f>COUNTIF(C10:I10,"PLANTÃO")</f>
        <v/>
      </c>
    </row>
    <row r="11">
      <c r="A11" s="3" t="inlineStr">
        <is>
          <t>12/01/2027</t>
        </is>
      </c>
      <c r="B11" s="3" t="inlineStr">
        <is>
          <t>Terça</t>
        </is>
      </c>
      <c r="C11" s="4" t="n"/>
      <c r="D11" s="4" t="n"/>
      <c r="E11" s="4" t="n"/>
      <c r="F11" s="4" t="n"/>
      <c r="G11" s="4" t="n"/>
      <c r="H11" s="4" t="n"/>
      <c r="I11" s="4" t="n"/>
      <c r="J11" s="5">
        <f>COUNTIF(C11:I11,"PLANTÃO")</f>
        <v/>
      </c>
    </row>
    <row r="12">
      <c r="A12" s="6" t="inlineStr">
        <is>
          <t>13/01/2027</t>
        </is>
      </c>
      <c r="B12" s="6" t="inlineStr">
        <is>
          <t>Quarta</t>
        </is>
      </c>
      <c r="C12" s="7" t="n"/>
      <c r="D12" s="7" t="n"/>
      <c r="E12" s="7" t="n"/>
      <c r="F12" s="7" t="n"/>
      <c r="G12" s="7" t="n"/>
      <c r="H12" s="7" t="n"/>
      <c r="I12" s="7" t="n"/>
      <c r="J12" s="8">
        <f>COUNTIF(C12:I12,"PLANTÃO")</f>
        <v/>
      </c>
    </row>
    <row r="13">
      <c r="A13" s="3" t="inlineStr">
        <is>
          <t>14/01/2027</t>
        </is>
      </c>
      <c r="B13" s="3" t="inlineStr">
        <is>
          <t>Quinta</t>
        </is>
      </c>
      <c r="C13" s="4" t="n"/>
      <c r="D13" s="4" t="n"/>
      <c r="E13" s="4" t="n"/>
      <c r="F13" s="4" t="n"/>
      <c r="G13" s="4" t="n"/>
      <c r="H13" s="4" t="n"/>
      <c r="I13" s="4" t="n"/>
      <c r="J13" s="5">
        <f>COUNTIF(C13:I13,"PLANTÃO")</f>
        <v/>
      </c>
    </row>
    <row r="14">
      <c r="A14" s="6" t="inlineStr">
        <is>
          <t>15/01/2027</t>
        </is>
      </c>
      <c r="B14" s="6" t="inlineStr">
        <is>
          <t>Sexta</t>
        </is>
      </c>
      <c r="C14" s="7" t="n"/>
      <c r="D14" s="7" t="n"/>
      <c r="E14" s="7" t="n"/>
      <c r="F14" s="7" t="n"/>
      <c r="G14" s="7" t="n"/>
      <c r="H14" s="7" t="n"/>
      <c r="I14" s="7" t="n"/>
      <c r="J14" s="8">
        <f>COUNTIF(C14:I14,"PLANTÃO")</f>
        <v/>
      </c>
    </row>
    <row r="15">
      <c r="A15" s="9" t="inlineStr">
        <is>
          <t>16/01/2027</t>
        </is>
      </c>
      <c r="B15" s="9" t="inlineStr">
        <is>
          <t>Sábado</t>
        </is>
      </c>
      <c r="C15" s="10" t="inlineStr">
        <is>
          <t>FECHADO</t>
        </is>
      </c>
      <c r="D15" s="10" t="inlineStr">
        <is>
          <t>FECHADO</t>
        </is>
      </c>
      <c r="E15" s="10" t="inlineStr">
        <is>
          <t>FECHADO</t>
        </is>
      </c>
      <c r="F15" s="10" t="inlineStr">
        <is>
          <t>FECHADO</t>
        </is>
      </c>
      <c r="G15" s="10" t="inlineStr">
        <is>
          <t>FECHADO</t>
        </is>
      </c>
      <c r="H15" s="10" t="inlineStr">
        <is>
          <t>FECHADO</t>
        </is>
      </c>
      <c r="I15" s="10" t="inlineStr">
        <is>
          <t>FECHADO</t>
        </is>
      </c>
      <c r="J15" s="11" t="inlineStr">
        <is>
          <t>—</t>
        </is>
      </c>
    </row>
    <row r="16">
      <c r="A16" s="9" t="inlineStr">
        <is>
          <t>17/01/2027</t>
        </is>
      </c>
      <c r="B16" s="9" t="inlineStr">
        <is>
          <t>Domingo</t>
        </is>
      </c>
      <c r="C16" s="10" t="inlineStr">
        <is>
          <t>FECHADO</t>
        </is>
      </c>
      <c r="D16" s="10" t="inlineStr">
        <is>
          <t>FECHADO</t>
        </is>
      </c>
      <c r="E16" s="10" t="inlineStr">
        <is>
          <t>FECHADO</t>
        </is>
      </c>
      <c r="F16" s="10" t="inlineStr">
        <is>
          <t>FECHADO</t>
        </is>
      </c>
      <c r="G16" s="10" t="inlineStr">
        <is>
          <t>FECHADO</t>
        </is>
      </c>
      <c r="H16" s="10" t="inlineStr">
        <is>
          <t>FECHADO</t>
        </is>
      </c>
      <c r="I16" s="10" t="inlineStr">
        <is>
          <t>FECHADO</t>
        </is>
      </c>
      <c r="J16" s="11" t="inlineStr">
        <is>
          <t>—</t>
        </is>
      </c>
    </row>
    <row r="17">
      <c r="A17" s="3" t="inlineStr">
        <is>
          <t>18/01/2027</t>
        </is>
      </c>
      <c r="B17" s="3" t="inlineStr">
        <is>
          <t>Segunda</t>
        </is>
      </c>
      <c r="C17" s="4" t="n"/>
      <c r="D17" s="4" t="n"/>
      <c r="E17" s="4" t="n"/>
      <c r="F17" s="4" t="n"/>
      <c r="G17" s="4" t="n"/>
      <c r="H17" s="4" t="n"/>
      <c r="I17" s="4" t="n"/>
      <c r="J17" s="5">
        <f>COUNTIF(C17:I17,"PLANTÃO")</f>
        <v/>
      </c>
    </row>
    <row r="18">
      <c r="A18" s="6" t="inlineStr">
        <is>
          <t>19/01/2027</t>
        </is>
      </c>
      <c r="B18" s="6" t="inlineStr">
        <is>
          <t>Terça</t>
        </is>
      </c>
      <c r="C18" s="7" t="n"/>
      <c r="D18" s="7" t="n"/>
      <c r="E18" s="7" t="n"/>
      <c r="F18" s="7" t="n"/>
      <c r="G18" s="7" t="n"/>
      <c r="H18" s="7" t="n"/>
      <c r="I18" s="7" t="n"/>
      <c r="J18" s="8">
        <f>COUNTIF(C18:I18,"PLANTÃO")</f>
        <v/>
      </c>
    </row>
    <row r="19">
      <c r="A19" s="3" t="inlineStr">
        <is>
          <t>20/01/2027</t>
        </is>
      </c>
      <c r="B19" s="3" t="inlineStr">
        <is>
          <t>Quarta</t>
        </is>
      </c>
      <c r="C19" s="4" t="n"/>
      <c r="D19" s="4" t="n"/>
      <c r="E19" s="4" t="n"/>
      <c r="F19" s="4" t="n"/>
      <c r="G19" s="4" t="n"/>
      <c r="H19" s="4" t="n"/>
      <c r="I19" s="4" t="n"/>
      <c r="J19" s="5">
        <f>COUNTIF(C19:I19,"PLANTÃO")</f>
        <v/>
      </c>
    </row>
    <row r="20">
      <c r="A20" s="6" t="inlineStr">
        <is>
          <t>21/01/2027</t>
        </is>
      </c>
      <c r="B20" s="6" t="inlineStr">
        <is>
          <t>Quinta</t>
        </is>
      </c>
      <c r="C20" s="7" t="n"/>
      <c r="D20" s="7" t="n"/>
      <c r="E20" s="7" t="n"/>
      <c r="F20" s="7" t="n"/>
      <c r="G20" s="7" t="n"/>
      <c r="H20" s="7" t="n"/>
      <c r="I20" s="7" t="n"/>
      <c r="J20" s="8">
        <f>COUNTIF(C20:I20,"PLANTÃO")</f>
        <v/>
      </c>
    </row>
    <row r="21">
      <c r="A21" s="3" t="inlineStr">
        <is>
          <t>22/01/2027</t>
        </is>
      </c>
      <c r="B21" s="3" t="inlineStr">
        <is>
          <t>Sexta</t>
        </is>
      </c>
      <c r="C21" s="4" t="n"/>
      <c r="D21" s="4" t="n"/>
      <c r="E21" s="4" t="n"/>
      <c r="F21" s="4" t="n"/>
      <c r="G21" s="4" t="n"/>
      <c r="H21" s="4" t="n"/>
      <c r="I21" s="4" t="n"/>
      <c r="J21" s="5">
        <f>COUNTIF(C21:I21,"PLANTÃO")</f>
        <v/>
      </c>
    </row>
    <row r="22">
      <c r="A22" s="9" t="inlineStr">
        <is>
          <t>23/01/2027</t>
        </is>
      </c>
      <c r="B22" s="9" t="inlineStr">
        <is>
          <t>Sábado</t>
        </is>
      </c>
      <c r="C22" s="10" t="inlineStr">
        <is>
          <t>FECHADO</t>
        </is>
      </c>
      <c r="D22" s="10" t="inlineStr">
        <is>
          <t>FECHADO</t>
        </is>
      </c>
      <c r="E22" s="10" t="inlineStr">
        <is>
          <t>FECHADO</t>
        </is>
      </c>
      <c r="F22" s="10" t="inlineStr">
        <is>
          <t>FECHADO</t>
        </is>
      </c>
      <c r="G22" s="10" t="inlineStr">
        <is>
          <t>FECHADO</t>
        </is>
      </c>
      <c r="H22" s="10" t="inlineStr">
        <is>
          <t>FECHADO</t>
        </is>
      </c>
      <c r="I22" s="10" t="inlineStr">
        <is>
          <t>FECHADO</t>
        </is>
      </c>
      <c r="J22" s="11" t="inlineStr">
        <is>
          <t>—</t>
        </is>
      </c>
    </row>
    <row r="23">
      <c r="A23" s="9" t="inlineStr">
        <is>
          <t>24/01/2027</t>
        </is>
      </c>
      <c r="B23" s="9" t="inlineStr">
        <is>
          <t>Domingo</t>
        </is>
      </c>
      <c r="C23" s="10" t="inlineStr">
        <is>
          <t>FECHADO</t>
        </is>
      </c>
      <c r="D23" s="10" t="inlineStr">
        <is>
          <t>FECHADO</t>
        </is>
      </c>
      <c r="E23" s="10" t="inlineStr">
        <is>
          <t>FECHADO</t>
        </is>
      </c>
      <c r="F23" s="10" t="inlineStr">
        <is>
          <t>FECHADO</t>
        </is>
      </c>
      <c r="G23" s="10" t="inlineStr">
        <is>
          <t>FECHADO</t>
        </is>
      </c>
      <c r="H23" s="10" t="inlineStr">
        <is>
          <t>FECHADO</t>
        </is>
      </c>
      <c r="I23" s="10" t="inlineStr">
        <is>
          <t>FECHADO</t>
        </is>
      </c>
      <c r="J23" s="11" t="inlineStr">
        <is>
          <t>—</t>
        </is>
      </c>
    </row>
    <row r="24">
      <c r="A24" s="6" t="inlineStr">
        <is>
          <t>25/01/2027</t>
        </is>
      </c>
      <c r="B24" s="6" t="inlineStr">
        <is>
          <t>Segunda</t>
        </is>
      </c>
      <c r="C24" s="7" t="n"/>
      <c r="D24" s="7" t="n"/>
      <c r="E24" s="7" t="n"/>
      <c r="F24" s="7" t="n"/>
      <c r="G24" s="7" t="n"/>
      <c r="H24" s="7" t="n"/>
      <c r="I24" s="7" t="n"/>
      <c r="J24" s="8">
        <f>COUNTIF(C24:I24,"PLANTÃO")</f>
        <v/>
      </c>
    </row>
    <row r="25">
      <c r="A25" s="3" t="inlineStr">
        <is>
          <t>26/01/2027</t>
        </is>
      </c>
      <c r="B25" s="3" t="inlineStr">
        <is>
          <t>Terça</t>
        </is>
      </c>
      <c r="C25" s="4" t="n"/>
      <c r="D25" s="4" t="n"/>
      <c r="E25" s="4" t="n"/>
      <c r="F25" s="4" t="n"/>
      <c r="G25" s="4" t="n"/>
      <c r="H25" s="4" t="n"/>
      <c r="I25" s="4" t="n"/>
      <c r="J25" s="5">
        <f>COUNTIF(C25:I25,"PLANTÃO")</f>
        <v/>
      </c>
    </row>
    <row r="26">
      <c r="A26" s="6" t="inlineStr">
        <is>
          <t>27/01/2027</t>
        </is>
      </c>
      <c r="B26" s="6" t="inlineStr">
        <is>
          <t>Quarta</t>
        </is>
      </c>
      <c r="C26" s="7" t="n"/>
      <c r="D26" s="7" t="n"/>
      <c r="E26" s="7" t="n"/>
      <c r="F26" s="7" t="n"/>
      <c r="G26" s="7" t="n"/>
      <c r="H26" s="7" t="n"/>
      <c r="I26" s="7" t="n"/>
      <c r="J26" s="8">
        <f>COUNTIF(C26:I26,"PLANTÃO")</f>
        <v/>
      </c>
    </row>
    <row r="27">
      <c r="A27" s="3" t="inlineStr">
        <is>
          <t>28/01/2027</t>
        </is>
      </c>
      <c r="B27" s="3" t="inlineStr">
        <is>
          <t>Quinta</t>
        </is>
      </c>
      <c r="C27" s="4" t="n"/>
      <c r="D27" s="4" t="n"/>
      <c r="E27" s="4" t="n"/>
      <c r="F27" s="4" t="n"/>
      <c r="G27" s="4" t="n"/>
      <c r="H27" s="4" t="n"/>
      <c r="I27" s="4" t="n"/>
      <c r="J27" s="5">
        <f>COUNTIF(C27:I27,"PLANTÃO")</f>
        <v/>
      </c>
    </row>
    <row r="28">
      <c r="A28" s="6" t="inlineStr">
        <is>
          <t>29/01/2027</t>
        </is>
      </c>
      <c r="B28" s="6" t="inlineStr">
        <is>
          <t>Sexta</t>
        </is>
      </c>
      <c r="C28" s="7" t="n"/>
      <c r="D28" s="7" t="n"/>
      <c r="E28" s="7" t="n"/>
      <c r="F28" s="7" t="n"/>
      <c r="G28" s="7" t="n"/>
      <c r="H28" s="7" t="n"/>
      <c r="I28" s="7" t="n"/>
      <c r="J28" s="8">
        <f>COUNTIF(C28:I28,"PLANTÃO")</f>
        <v/>
      </c>
    </row>
    <row r="30">
      <c r="A30" s="12" t="inlineStr">
        <is>
          <t>TOTAL DE DIAS DE PLANTÃO</t>
        </is>
      </c>
      <c r="C30" s="13">
        <f>COUNTIF(C3:C28,"PLANTÃO")</f>
        <v/>
      </c>
      <c r="D30" s="13">
        <f>COUNTIF(D3:D28,"PLANTÃO")</f>
        <v/>
      </c>
      <c r="E30" s="13">
        <f>COUNTIF(E3:E28,"PLANTÃO")</f>
        <v/>
      </c>
      <c r="F30" s="13">
        <f>COUNTIF(F3:F28,"PLANTÃO")</f>
        <v/>
      </c>
      <c r="G30" s="13">
        <f>COUNTIF(G3:G28,"PLANTÃO")</f>
        <v/>
      </c>
      <c r="H30" s="13">
        <f>COUNTIF(H3:H28,"PLANTÃO")</f>
        <v/>
      </c>
      <c r="I30" s="13">
        <f>COUNTIF(I3:I28,"PLANTÃO")</f>
        <v/>
      </c>
    </row>
    <row r="31">
      <c r="A31" s="12" t="inlineStr">
        <is>
          <t>TOTAL DE DIAS DE DESCANSO (meta mínima: 15 dias úteis = 3 semanas)</t>
        </is>
      </c>
      <c r="C31" s="13">
        <f>COUNTIF(C3:C28,"FÉRIAS")</f>
        <v/>
      </c>
      <c r="D31" s="13">
        <f>COUNTIF(D3:D28,"FÉRIAS")</f>
        <v/>
      </c>
      <c r="E31" s="13">
        <f>COUNTIF(E3:E28,"FÉRIAS")</f>
        <v/>
      </c>
      <c r="F31" s="13">
        <f>COUNTIF(F3:F28,"FÉRIAS")</f>
        <v/>
      </c>
      <c r="G31" s="13">
        <f>COUNTIF(G3:G28,"FÉRIAS")</f>
        <v/>
      </c>
      <c r="H31" s="13">
        <f>COUNTIF(H3:H28,"FÉRIAS")</f>
        <v/>
      </c>
      <c r="I31" s="13">
        <f>COUNTIF(I3:I28,"FÉRIAS")</f>
        <v/>
      </c>
    </row>
  </sheetData>
  <mergeCells count="3">
    <mergeCell ref="A1:J1"/>
    <mergeCell ref="A30:B30"/>
    <mergeCell ref="A31:B31"/>
  </mergeCells>
  <conditionalFormatting sqref="J3:J28">
    <cfRule type="cellIs" priority="1" operator="equal" dxfId="0">
      <formula>0</formula>
    </cfRule>
    <cfRule type="cellIs" priority="2" operator="equal" dxfId="1">
      <formula>1</formula>
    </cfRule>
  </conditionalFormatting>
  <conditionalFormatting sqref="C31:I31">
    <cfRule type="cellIs" priority="3" operator="greaterThanOrEqual" dxfId="1">
      <formula>15</formula>
    </cfRule>
    <cfRule type="cellIs" priority="4" operator="lessThan" dxfId="0">
      <formula>15</formula>
    </cfRule>
  </conditionalFormatting>
  <dataValidations count="1">
    <dataValidation sqref="C3 C4 C5 C6 C7 C10 C11 C12 C13 C14 C17 C18 C19 C20 C21 C24 C25 C26 C27 C28 D3 D4 D5 D6 D7 D10 D11 D12 D13 D14 D17 D18 D19 D20 D21 D24 D25 D26 D27 D28 E3 E4 E5 E6 E7 E10 E11 E12 E13 E14 E17 E18 E19 E20 E21 E24 E25 E26 E27 E28 F3 F4 F5 F6 F7 F10 F11 F12 F13 F14 F17 F18 F19 F20 F21 F24 F25 F26 F27 F28 G3 G4 G5 G6 G7 G10 G11 G12 G13 G14 G17 G18 G19 G20 G21 G24 G25 G26 G27 G28 H3 H4 H5 H6 H7 H10 H11 H12 H13 H14 H17 H18 H19 H20 H21 H24 H25 H26 H27 H28 I3 I4 I5 I6 I7 I10 I11 I12 I13 I14 I17 I18 I19 I20 I21 I24 I25 I26 I27 I28" showDropDown="0" showInputMessage="0" showErrorMessage="0" allowBlank="1" type="list">
      <formula1>"PLANTÃO,FÉRIAS"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ht="24" customHeight="1">
      <c r="A1" s="14" t="inlineStr">
        <is>
          <t>ESCALA DE PLANTÃO — OSID — 04 a 29/01/2027</t>
        </is>
      </c>
    </row>
    <row r="3">
      <c r="A3" s="15" t="inlineStr">
        <is>
          <t>Como preencher</t>
        </is>
      </c>
    </row>
    <row r="4">
      <c r="A4" s="16" t="inlineStr">
        <is>
          <t>Cada dentista preenche sua própria coluna, dia a dia (só dias úteis — fins de semana já vêm marcados FECHADO e não são editáveis), escolhendo:</t>
        </is>
      </c>
    </row>
    <row r="5">
      <c r="A5" s="16" t="inlineStr">
        <is>
          <t>• PLANTÃO — está no consultório, atendendo, nesse dia</t>
        </is>
      </c>
    </row>
    <row r="6">
      <c r="A6" s="16" t="inlineStr">
        <is>
          <t>• FÉRIAS — está de descanso nesse dia</t>
        </is>
      </c>
    </row>
    <row r="7">
      <c r="A7" s="16" t="inlineStr">
        <is>
          <t>Ninguém está pré-escalonado — cada um escolhe seus próprios dias. Esta planilha só organiza a visão de conjunto e avisa se algo não está batendo.</t>
        </is>
      </c>
    </row>
    <row r="9">
      <c r="A9" s="15" t="inlineStr">
        <is>
          <t>Regras importantes</t>
        </is>
      </c>
    </row>
    <row r="10">
      <c r="A10" s="16" t="inlineStr">
        <is>
          <t>1. Meta de descanso: cada um precisa somar pelo menos 15 dias úteis de FÉRIAS (equivalente a 3 semanas) no período. A linha "TOTAL DE DIAS DE DESCANSO" fica verde quando a meta é atingida, vermelha quando ainda falta.</t>
        </is>
      </c>
    </row>
    <row r="11">
      <c r="A11" s="16" t="inlineStr">
        <is>
          <t>2. Cobertura: a coluna "Cobertura" mostra quantas pessoas estão de PLANTÃO naquele dia. Fica vermelha se ficar em 0 (consultório vazio — não pode acontecer) e verde quando está em 1 (cobertura ideal, sem desperdício).</t>
        </is>
      </c>
    </row>
    <row r="12">
      <c r="A12" s="16" t="inlineStr">
        <is>
          <t>3. Como só há 20 dias úteis no período e cada um precisa de pelo menos 15 de descanso, cada pessoa só tem de 2 a 5 dias de plantão possíveis — combinem entre vocês para que a soma de plantões cubra todos os 20 dias úteis sem sobrar nem faltar gente em nenhum dia.</t>
        </is>
      </c>
    </row>
    <row r="13">
      <c r="A13" s="16" t="inlineStr">
        <is>
          <t>4. Fins de semana (sábado e domingo) não contam nem para plantão, nem para descanso — o consultório simplesmente não abre.</t>
        </is>
      </c>
    </row>
    <row r="15">
      <c r="A15" s="15" t="inlineStr">
        <is>
          <t>Equipe (OSID)</t>
        </is>
      </c>
    </row>
    <row r="16">
      <c r="A16" s="16" t="inlineStr">
        <is>
          <t>Ana Carolina Pondé, Éder Gerardo, Juliana Azevedo, Juliana Borges, Laura, Manoela Carrera, Tila Fortuna.</t>
        </is>
      </c>
    </row>
    <row r="18">
      <c r="A18" s="15" t="inlineStr">
        <is>
          <t>Nota de elaboração</t>
        </is>
      </c>
    </row>
    <row r="19">
      <c r="A19" s="17" t="inlineStr">
        <is>
          <t>Como referência, uma distribuição possível e equânime (cada um cobrindo só 2-3 dias úteis) já foi sugerida em outra planilha (Rodízio de Plantão). Esta aqui é a versão para a equipe escolher livremente, mantendo as mesmas metas.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2026-10-27T11:38:15Z</dcterms:created>
  <dcterms:modified xsi:type="dcterms:W3CDTF">2026-10-27T11:38:15Z</dcterms:modified>
</cp:coreProperties>
</file>