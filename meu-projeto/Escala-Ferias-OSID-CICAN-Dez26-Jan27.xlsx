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 Dez26-Jan27" sheetId="1" state="visible" r:id="rId1"/>
    <sheet name="Legenda e 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1F3864"/>
      <sz val="12"/>
    </font>
    <font>
      <name val="Arial"/>
      <color rgb="00000000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ESCALA DE FÉRIAS — ODONTOLOGIA ONCOLÓGICA — OSID e CICAN  |  Dezembro/2026 a Janeiro/2027</t>
        </is>
      </c>
    </row>
    <row r="2" ht="40" customHeight="1">
      <c r="A2" s="2" t="inlineStr">
        <is>
          <t>Semana</t>
        </is>
      </c>
      <c r="B2" s="2" t="inlineStr">
        <is>
          <t>Período</t>
        </is>
      </c>
      <c r="C2" s="3" t="inlineStr">
        <is>
          <t>Manuela Carrera</t>
        </is>
      </c>
      <c r="D2" s="4" t="inlineStr">
        <is>
          <t>Éder Gerardo</t>
        </is>
      </c>
      <c r="E2" s="4" t="inlineStr">
        <is>
          <t>Ana Carolina Pondé</t>
        </is>
      </c>
      <c r="F2" s="4" t="inlineStr">
        <is>
          <t>Laura</t>
        </is>
      </c>
      <c r="G2" s="4" t="inlineStr">
        <is>
          <t>Juliana Azevedo</t>
        </is>
      </c>
      <c r="H2" s="3" t="inlineStr">
        <is>
          <t>Tila Fortuna</t>
        </is>
      </c>
      <c r="I2" s="3" t="inlineStr">
        <is>
          <t>Juliana Borges</t>
        </is>
      </c>
      <c r="J2" s="2" t="inlineStr">
        <is>
          <t>Cobertura OSID (nº pessoas)</t>
        </is>
      </c>
      <c r="K2" s="2" t="inlineStr">
        <is>
          <t>Cobertura CICAN (nº pessoas)</t>
        </is>
      </c>
    </row>
    <row r="3">
      <c r="A3" s="5" t="inlineStr">
        <is>
          <t>Semana 1</t>
        </is>
      </c>
      <c r="B3" s="6" t="inlineStr">
        <is>
          <t>01/12/2026 a 07/12/2026</t>
        </is>
      </c>
      <c r="C3" s="6" t="n"/>
      <c r="D3" s="6" t="n"/>
      <c r="E3" s="6" t="n"/>
      <c r="F3" s="6" t="n"/>
      <c r="G3" s="6" t="n"/>
      <c r="H3" s="6" t="n"/>
      <c r="I3" s="6" t="n"/>
      <c r="J3" s="5">
        <f>COUNTIF(C3:I3,"OSID")</f>
        <v/>
      </c>
      <c r="K3" s="5">
        <f>COUNTIF(C3:I3,"CICAN")</f>
        <v/>
      </c>
    </row>
    <row r="4">
      <c r="A4" s="7" t="inlineStr">
        <is>
          <t>Semana 2</t>
        </is>
      </c>
      <c r="B4" s="8" t="inlineStr">
        <is>
          <t>08/12/2026 a 14/12/2026</t>
        </is>
      </c>
      <c r="C4" s="8" t="n"/>
      <c r="D4" s="8" t="n"/>
      <c r="E4" s="8" t="n"/>
      <c r="F4" s="8" t="n"/>
      <c r="G4" s="8" t="n"/>
      <c r="H4" s="8" t="n"/>
      <c r="I4" s="8" t="n"/>
      <c r="J4" s="7">
        <f>COUNTIF(C4:I4,"OSID")</f>
        <v/>
      </c>
      <c r="K4" s="7">
        <f>COUNTIF(C4:I4,"CICAN")</f>
        <v/>
      </c>
    </row>
    <row r="5">
      <c r="A5" s="5" t="inlineStr">
        <is>
          <t>Semana 3</t>
        </is>
      </c>
      <c r="B5" s="6" t="inlineStr">
        <is>
          <t>15/12/2026 a 21/12/2026</t>
        </is>
      </c>
      <c r="C5" s="6" t="n"/>
      <c r="D5" s="6" t="n"/>
      <c r="E5" s="6" t="n"/>
      <c r="F5" s="6" t="n"/>
      <c r="G5" s="6" t="n"/>
      <c r="H5" s="6" t="n"/>
      <c r="I5" s="6" t="n"/>
      <c r="J5" s="5">
        <f>COUNTIF(C5:I5,"OSID")</f>
        <v/>
      </c>
      <c r="K5" s="5">
        <f>COUNTIF(C5:I5,"CICAN")</f>
        <v/>
      </c>
    </row>
    <row r="6">
      <c r="A6" s="7" t="inlineStr">
        <is>
          <t>Semana 4</t>
        </is>
      </c>
      <c r="B6" s="8" t="inlineStr">
        <is>
          <t>22/12/2026 a 28/12/2026</t>
        </is>
      </c>
      <c r="C6" s="8" t="n"/>
      <c r="D6" s="8" t="n"/>
      <c r="E6" s="8" t="n"/>
      <c r="F6" s="8" t="n"/>
      <c r="G6" s="8" t="n"/>
      <c r="H6" s="8" t="n"/>
      <c r="I6" s="8" t="n"/>
      <c r="J6" s="7">
        <f>COUNTIF(C6:I6,"OSID")</f>
        <v/>
      </c>
      <c r="K6" s="7">
        <f>COUNTIF(C6:I6,"CICAN")</f>
        <v/>
      </c>
    </row>
    <row r="7">
      <c r="A7" s="5" t="inlineStr">
        <is>
          <t>Semana 5</t>
        </is>
      </c>
      <c r="B7" s="6" t="inlineStr">
        <is>
          <t>29/12/2026 a 04/01/2027</t>
        </is>
      </c>
      <c r="C7" s="6" t="n"/>
      <c r="D7" s="6" t="n"/>
      <c r="E7" s="6" t="n"/>
      <c r="F7" s="6" t="n"/>
      <c r="G7" s="6" t="n"/>
      <c r="H7" s="6" t="n"/>
      <c r="I7" s="6" t="n"/>
      <c r="J7" s="5">
        <f>COUNTIF(C7:I7,"OSID")</f>
        <v/>
      </c>
      <c r="K7" s="5">
        <f>COUNTIF(C7:I7,"CICAN")</f>
        <v/>
      </c>
    </row>
    <row r="8">
      <c r="A8" s="7" t="inlineStr">
        <is>
          <t>Semana 6</t>
        </is>
      </c>
      <c r="B8" s="8" t="inlineStr">
        <is>
          <t>05/01/2027 a 11/01/2027</t>
        </is>
      </c>
      <c r="C8" s="8" t="n"/>
      <c r="D8" s="8" t="n"/>
      <c r="E8" s="8" t="n"/>
      <c r="F8" s="8" t="n"/>
      <c r="G8" s="8" t="n"/>
      <c r="H8" s="8" t="n"/>
      <c r="I8" s="8" t="n"/>
      <c r="J8" s="7">
        <f>COUNTIF(C8:I8,"OSID")</f>
        <v/>
      </c>
      <c r="K8" s="7">
        <f>COUNTIF(C8:I8,"CICAN")</f>
        <v/>
      </c>
    </row>
    <row r="9">
      <c r="A9" s="5" t="inlineStr">
        <is>
          <t>Semana 7</t>
        </is>
      </c>
      <c r="B9" s="6" t="inlineStr">
        <is>
          <t>12/01/2027 a 18/01/2027</t>
        </is>
      </c>
      <c r="C9" s="6" t="n"/>
      <c r="D9" s="6" t="n"/>
      <c r="E9" s="6" t="n"/>
      <c r="F9" s="6" t="n"/>
      <c r="G9" s="6" t="n"/>
      <c r="H9" s="6" t="n"/>
      <c r="I9" s="6" t="n"/>
      <c r="J9" s="5">
        <f>COUNTIF(C9:I9,"OSID")</f>
        <v/>
      </c>
      <c r="K9" s="5">
        <f>COUNTIF(C9:I9,"CICAN")</f>
        <v/>
      </c>
    </row>
    <row r="10">
      <c r="A10" s="7" t="inlineStr">
        <is>
          <t>Semana 8</t>
        </is>
      </c>
      <c r="B10" s="8" t="inlineStr">
        <is>
          <t>19/01/2027 a 25/01/2027</t>
        </is>
      </c>
      <c r="C10" s="8" t="n"/>
      <c r="D10" s="8" t="n"/>
      <c r="E10" s="8" t="n"/>
      <c r="F10" s="8" t="n"/>
      <c r="G10" s="8" t="n"/>
      <c r="H10" s="8" t="n"/>
      <c r="I10" s="8" t="n"/>
      <c r="J10" s="7">
        <f>COUNTIF(C10:I10,"OSID")</f>
        <v/>
      </c>
      <c r="K10" s="7">
        <f>COUNTIF(C10:I10,"CICAN")</f>
        <v/>
      </c>
    </row>
    <row r="11">
      <c r="A11" s="5" t="inlineStr">
        <is>
          <t>Semana 9</t>
        </is>
      </c>
      <c r="B11" s="6" t="inlineStr">
        <is>
          <t>26/01/2027 a 31/01/2027</t>
        </is>
      </c>
      <c r="C11" s="6" t="n"/>
      <c r="D11" s="6" t="n"/>
      <c r="E11" s="6" t="n"/>
      <c r="F11" s="6" t="n"/>
      <c r="G11" s="6" t="n"/>
      <c r="H11" s="6" t="n"/>
      <c r="I11" s="6" t="n"/>
      <c r="J11" s="5">
        <f>COUNTIF(C11:I11,"OSID")</f>
        <v/>
      </c>
      <c r="K11" s="5">
        <f>COUNTIF(C11:I11,"CICAN")</f>
        <v/>
      </c>
    </row>
    <row r="13">
      <c r="A13" s="9" t="inlineStr">
        <is>
          <t>TOTAL DE SEMANAS DE FÉRIAS (meta: 4 por pessoa)</t>
        </is>
      </c>
      <c r="C13" s="10">
        <f>COUNTIF(C3:C11,"FÉRIAS")</f>
        <v/>
      </c>
      <c r="D13" s="10">
        <f>COUNTIF(D3:D11,"FÉRIAS")</f>
        <v/>
      </c>
      <c r="E13" s="10">
        <f>COUNTIF(E3:E11,"FÉRIAS")</f>
        <v/>
      </c>
      <c r="F13" s="10">
        <f>COUNTIF(F3:F11,"FÉRIAS")</f>
        <v/>
      </c>
      <c r="G13" s="10">
        <f>COUNTIF(G3:G11,"FÉRIAS")</f>
        <v/>
      </c>
      <c r="H13" s="10">
        <f>COUNTIF(H3:H11,"FÉRIAS")</f>
        <v/>
      </c>
      <c r="I13" s="10">
        <f>COUNTIF(I3:I11,"FÉRIAS")</f>
        <v/>
      </c>
    </row>
    <row r="14">
      <c r="A14" s="11" t="inlineStr">
        <is>
          <t>Total de semanas em OSID</t>
        </is>
      </c>
      <c r="C14" s="12">
        <f>COUNTIF(C3:C11,"OSID")</f>
        <v/>
      </c>
      <c r="D14" s="12">
        <f>COUNTIF(D3:D11,"OSID")</f>
        <v/>
      </c>
      <c r="E14" s="12">
        <f>COUNTIF(E3:E11,"OSID")</f>
        <v/>
      </c>
      <c r="F14" s="12">
        <f>COUNTIF(F3:F11,"OSID")</f>
        <v/>
      </c>
      <c r="G14" s="12">
        <f>COUNTIF(G3:G11,"OSID")</f>
        <v/>
      </c>
      <c r="H14" s="12">
        <f>COUNTIF(H3:H11,"OSID")</f>
        <v/>
      </c>
      <c r="I14" s="12">
        <f>COUNTIF(I3:I11,"OSID")</f>
        <v/>
      </c>
    </row>
    <row r="15">
      <c r="A15" s="11" t="inlineStr">
        <is>
          <t>Total de semanas em CICAN</t>
        </is>
      </c>
      <c r="C15" s="12">
        <f>COUNTIF(C3:C11,"CICAN")</f>
        <v/>
      </c>
      <c r="D15" s="12">
        <f>COUNTIF(D3:D11,"CICAN")</f>
        <v/>
      </c>
      <c r="E15" s="12">
        <f>COUNTIF(E3:E11,"CICAN")</f>
        <v/>
      </c>
      <c r="F15" s="12">
        <f>COUNTIF(F3:F11,"CICAN")</f>
        <v/>
      </c>
      <c r="G15" s="12">
        <f>COUNTIF(G3:G11,"CICAN")</f>
        <v/>
      </c>
      <c r="H15" s="12">
        <f>COUNTIF(H3:H11,"CICAN")</f>
        <v/>
      </c>
      <c r="I15" s="12">
        <f>COUNTIF(I3:I11,"CICAN")</f>
        <v/>
      </c>
    </row>
  </sheetData>
  <mergeCells count="4">
    <mergeCell ref="A13:B13"/>
    <mergeCell ref="A1:K1"/>
    <mergeCell ref="A14:B14"/>
    <mergeCell ref="A15:B15"/>
  </mergeCells>
  <conditionalFormatting sqref="J3:J11">
    <cfRule type="cellIs" priority="1" operator="equal" dxfId="0">
      <formula>0</formula>
    </cfRule>
  </conditionalFormatting>
  <conditionalFormatting sqref="K3:K11">
    <cfRule type="cellIs" priority="2" operator="equal" dxfId="0">
      <formula>0</formula>
    </cfRule>
  </conditionalFormatting>
  <conditionalFormatting sqref="C13:I13">
    <cfRule type="cellIs" priority="3" operator="equal" dxfId="1">
      <formula>4</formula>
    </cfRule>
    <cfRule type="cellIs" priority="4" operator="notEqual" dxfId="0">
      <formula>4</formula>
    </cfRule>
  </conditionalFormatting>
  <dataValidations count="2">
    <dataValidation sqref="D3:D11 E3:E11 F3:F11 G3:G11" showDropDown="0" showInputMessage="0" showErrorMessage="0" allowBlank="1" type="list">
      <formula1>"OSID,CICAN,FÉRIAS"</formula1>
    </dataValidation>
    <dataValidation sqref="C3:C11 H3:H11 I3:I11" showDropDown="0" showInputMessage="0" showErrorMessage="0" allowBlank="1" type="list">
      <formula1>"OSID,FÉRIAS"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13" t="inlineStr">
        <is>
          <t>ESCALA DE FÉRIAS — OSID e CICAN — Dezembro/2026 a Janeiro/2027</t>
        </is>
      </c>
    </row>
    <row r="3">
      <c r="A3" s="14" t="inlineStr">
        <is>
          <t>Como preencher</t>
        </is>
      </c>
    </row>
    <row r="4">
      <c r="A4" s="15" t="inlineStr">
        <is>
          <t>Cada pessoa preenche sua própria coluna, semana a semana, escolhendo uma opção da lista (clique na célula e use a setinha):</t>
        </is>
      </c>
    </row>
    <row r="5">
      <c r="A5" s="15" t="inlineStr">
        <is>
          <t>• OSID — está trabalhando no OSID essa semana inteira</t>
        </is>
      </c>
    </row>
    <row r="6">
      <c r="A6" s="15" t="inlineStr">
        <is>
          <t>• CICAN — está trabalhando no CICAN essa semana inteira</t>
        </is>
      </c>
    </row>
    <row r="7">
      <c r="A7" s="15" t="inlineStr">
        <is>
          <t>• FÉRIAS — está de férias essa semana</t>
        </is>
      </c>
    </row>
    <row r="8">
      <c r="A8" s="15" t="inlineStr">
        <is>
          <t>Ninguém tem sua escala definida por aqui — cada um escolhe seus próprios dias/semanas. Esta planilha só organiza a visão de conjunto.</t>
        </is>
      </c>
    </row>
    <row r="10">
      <c r="A10" s="14" t="inlineStr">
        <is>
          <t>Regras importantes</t>
        </is>
      </c>
    </row>
    <row r="11">
      <c r="A11" s="15" t="inlineStr">
        <is>
          <t>1. Cada semana é um bloco inteiro — não se divide a semana entre OSID e CICAN.</t>
        </is>
      </c>
    </row>
    <row r="12">
      <c r="A12" s="15" t="inlineStr">
        <is>
          <t>2. Meta: cada pessoa deve somar 4 semanas de FÉRIAS no período (linha "TOTAL DE SEMANAS DE FÉRIAS", que fica verde quando bate 4 e vermelha quando ainda não bateu ou passou).</t>
        </is>
      </c>
    </row>
    <row r="13">
      <c r="A13" s="15" t="inlineStr">
        <is>
          <t>3. Manuela Carrera não atua na assistência do CICAN — lá é só coordenadora. Por isso, sua coluna só permite OSID ou FÉRIAS.</t>
        </is>
      </c>
    </row>
    <row r="14">
      <c r="A14" s="15" t="inlineStr">
        <is>
          <t>4. Tila Fortuna e Juliana Borges atuam apenas no OSID — colunas também restritas a OSID ou FÉRIAS.</t>
        </is>
      </c>
    </row>
    <row r="15">
      <c r="A15" s="15" t="inlineStr">
        <is>
          <t>5. Éder Gerardo, Ana Carolina Pondé, Laura e Juliana Azevedo atuam nos dois serviços — podem escolher OSID, CICAN ou FÉRIAS.</t>
        </is>
      </c>
    </row>
    <row r="16">
      <c r="A16" s="15" t="inlineStr">
        <is>
          <t>6. Fiquem de olho nas colunas "Cobertura OSID" e "Cobertura CICAN" — elas ficam vermelhas se uma semana ficar com 0 pessoas cobrindo o serviço. Isso é um alerta, não um bloqueio: se acontecer, a equipe se ajusta junto.</t>
        </is>
      </c>
    </row>
    <row r="18">
      <c r="A18" s="14" t="inlineStr">
        <is>
          <t>Equipe</t>
        </is>
      </c>
    </row>
    <row r="19">
      <c r="A19" s="15" t="inlineStr">
        <is>
          <t>OSID: Manuela Carrera (coordenadora, com assistência), Éder Gerardo (subcoordenação), Ana Carolina Pondé, Laura, Juliana Azevedo, Tila Fortuna, Juliana Borges.</t>
        </is>
      </c>
    </row>
    <row r="20">
      <c r="A20" s="15" t="inlineStr">
        <is>
          <t>CICAN: Éder Gerardo (subcoordenação), Ana Carolina Pondé, Laura, Juliana Azevedo. Manuela Carrera coordena, mas não entra na escala de assistência do CICAN. Nestor ainda não entra na escala — ingressará em breve.</t>
        </is>
      </c>
    </row>
    <row r="22">
      <c r="A22" s="14" t="inlineStr">
        <is>
          <t>Nota de elaboração</t>
        </is>
      </c>
    </row>
    <row r="23">
      <c r="A23" s="16" t="inlineStr">
        <is>
          <t>Planilha construída a partir de bloco corrido de 7 dias a partir de 01/12/2026 (não semanas de calendário segunda-domingo). A Semana 9 tem 6 dias (26 a 31/01/2027), pois o período termina em 31/01. Se o serviço usa semanas de calendário (segunda a domingo), avise que eu ajusto as datas.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2026-10-20T13:32:29Z</dcterms:created>
  <dcterms:modified xsi:type="dcterms:W3CDTF">2026-10-20T13:32:29Z</dcterms:modified>
</cp:coreProperties>
</file>